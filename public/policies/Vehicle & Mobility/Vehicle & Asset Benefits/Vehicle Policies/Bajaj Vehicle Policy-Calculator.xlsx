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1. COE\FY 25-26\"/>
    </mc:Choice>
  </mc:AlternateContent>
  <xr:revisionPtr revIDLastSave="0" documentId="8_{1806A07D-8308-4169-8588-B729363CCD35}" xr6:coauthVersionLast="47" xr6:coauthVersionMax="47" xr10:uidLastSave="{00000000-0000-0000-0000-000000000000}"/>
  <bookViews>
    <workbookView xWindow="-120" yWindow="-120" windowWidth="20730" windowHeight="11040" xr2:uid="{81C4E4C9-3538-444D-B8A3-1044C58194D6}"/>
  </bookViews>
  <sheets>
    <sheet name="Employee Benefit Calculator" sheetId="8" r:id="rId1"/>
    <sheet name="New " sheetId="5" state="hidden" r:id="rId2"/>
  </sheets>
  <definedNames>
    <definedName name="_xlnm._FilterDatabase" localSheetId="0" hidden="1">'Employee Benefit Calculator'!$T$60:$Y$113</definedName>
    <definedName name="Avenger" localSheetId="0">'Employee Benefit Calculator'!$W$7:$W$8</definedName>
    <definedName name="Avenger">#REF!</definedName>
    <definedName name="Chetak" localSheetId="0">'Employee Benefit Calculator'!$X$7:$X$11</definedName>
    <definedName name="Chetak">#REF!</definedName>
    <definedName name="CT" localSheetId="0">'Employee Benefit Calculator'!$Y$7</definedName>
    <definedName name="CT">#REF!</definedName>
    <definedName name="DOMINAR" localSheetId="0">'Employee Benefit Calculator'!$Z$7:$Z$8</definedName>
    <definedName name="DOMINAR">#REF!</definedName>
    <definedName name="FREEDOM" localSheetId="0">'Employee Benefit Calculator'!$AB$7:$AB$9</definedName>
    <definedName name="FREEDOM">#REF!</definedName>
    <definedName name="Husqvarna" localSheetId="0">'Employee Benefit Calculator'!$AA$7:$AA$8</definedName>
    <definedName name="Husqvarna">#REF!</definedName>
    <definedName name="KTM" localSheetId="0">'Employee Benefit Calculator'!$AE$7:$AE$15</definedName>
    <definedName name="KTM">#REF!</definedName>
    <definedName name="Make" localSheetId="0">'Employee Benefit Calculator'!$T$6:$T$47</definedName>
    <definedName name="Make">#REF!</definedName>
    <definedName name="PLATINA" localSheetId="0">'Employee Benefit Calculator'!$AC$7:$AC$8</definedName>
    <definedName name="PLATINA">#REF!</definedName>
    <definedName name="PULSAR" localSheetId="0">'Employee Benefit Calculator'!$AD$7:$AD$28</definedName>
    <definedName name="PULSAR">#REF!</definedName>
    <definedName name="Triumph" localSheetId="0">'Employee Benefit Calculator'!$AF$7:$AF$11</definedName>
    <definedName name="Triumph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8" l="1"/>
  <c r="I17" i="8"/>
  <c r="H17" i="8"/>
  <c r="G17" i="8"/>
  <c r="E16" i="8"/>
  <c r="D16" i="8"/>
  <c r="C16" i="8"/>
  <c r="E14" i="8"/>
  <c r="E15" i="8" s="1"/>
  <c r="D14" i="8"/>
  <c r="D15" i="8" s="1"/>
  <c r="C14" i="8"/>
  <c r="C15" i="8" s="1"/>
  <c r="E13" i="8"/>
  <c r="E12" i="8" s="1"/>
  <c r="D13" i="8"/>
  <c r="D12" i="8" s="1"/>
  <c r="C13" i="8"/>
  <c r="C12" i="8" s="1"/>
  <c r="I12" i="8"/>
  <c r="H12" i="8"/>
  <c r="G12" i="8"/>
  <c r="N10" i="8"/>
  <c r="C17" i="8" l="1"/>
  <c r="C19" i="8" s="1"/>
  <c r="D17" i="8"/>
  <c r="D19" i="8" s="1"/>
  <c r="H19" i="8"/>
  <c r="G19" i="8"/>
  <c r="I19" i="8"/>
  <c r="E17" i="8"/>
  <c r="E19" i="8" s="1"/>
  <c r="I22" i="8" s="1"/>
  <c r="I23" i="8" s="1"/>
  <c r="G22" i="8" l="1"/>
  <c r="G23" i="8" s="1"/>
  <c r="H22" i="8"/>
  <c r="H23" i="8" s="1"/>
  <c r="H12" i="5"/>
  <c r="E12" i="5"/>
  <c r="H16" i="5"/>
  <c r="E16" i="5"/>
  <c r="G4" i="5"/>
  <c r="G5" i="5" s="1"/>
  <c r="H6" i="5" s="1"/>
  <c r="D4" i="5"/>
  <c r="D5" i="5" s="1"/>
  <c r="D8" i="5" s="1"/>
  <c r="V55" i="5"/>
  <c r="V54" i="5"/>
  <c r="V53" i="5"/>
  <c r="V52" i="5"/>
  <c r="V51" i="5"/>
  <c r="V50" i="5"/>
  <c r="V49" i="5"/>
  <c r="V48" i="5"/>
  <c r="V47" i="5"/>
  <c r="V46" i="5"/>
  <c r="V45" i="5"/>
  <c r="V44" i="5"/>
  <c r="V43" i="5"/>
  <c r="V42" i="5"/>
  <c r="V41" i="5"/>
  <c r="V40" i="5"/>
  <c r="V39" i="5"/>
  <c r="V38" i="5"/>
  <c r="V37" i="5"/>
  <c r="V36" i="5"/>
  <c r="V35" i="5"/>
  <c r="V34" i="5"/>
  <c r="V33" i="5"/>
  <c r="V32" i="5"/>
  <c r="V31" i="5"/>
  <c r="V30" i="5"/>
  <c r="V29" i="5"/>
  <c r="V28" i="5"/>
  <c r="V27" i="5"/>
  <c r="V26" i="5"/>
  <c r="V25" i="5"/>
  <c r="V24" i="5"/>
  <c r="V23" i="5"/>
  <c r="V22" i="5"/>
  <c r="V21" i="5"/>
  <c r="V20" i="5"/>
  <c r="V19" i="5"/>
  <c r="V18" i="5"/>
  <c r="V17" i="5"/>
  <c r="V16" i="5"/>
  <c r="V15" i="5"/>
  <c r="V14" i="5"/>
  <c r="V13" i="5"/>
  <c r="V12" i="5"/>
  <c r="V11" i="5"/>
  <c r="V10" i="5"/>
  <c r="V9" i="5"/>
  <c r="V8" i="5"/>
  <c r="V7" i="5"/>
  <c r="V6" i="5"/>
  <c r="V5" i="5"/>
  <c r="V4" i="5"/>
  <c r="V3" i="5"/>
  <c r="D12" i="5" l="1"/>
  <c r="D13" i="5" s="1"/>
  <c r="E13" i="5"/>
  <c r="H13" i="5"/>
  <c r="H15" i="5" s="1"/>
  <c r="D6" i="5"/>
  <c r="E6" i="5"/>
  <c r="G6" i="5"/>
  <c r="G8" i="5"/>
  <c r="G12" i="5" l="1"/>
  <c r="G13" i="5" s="1"/>
  <c r="H17" i="5" s="1"/>
  <c r="E15" i="5"/>
  <c r="E17" i="5" s="1"/>
</calcChain>
</file>

<file path=xl/sharedStrings.xml><?xml version="1.0" encoding="utf-8"?>
<sst xmlns="http://schemas.openxmlformats.org/spreadsheetml/2006/main" count="556" uniqueCount="164">
  <si>
    <t>ORP</t>
  </si>
  <si>
    <t>Loan Amount</t>
  </si>
  <si>
    <t>Processing Fee</t>
  </si>
  <si>
    <t>Stamp Duty</t>
  </si>
  <si>
    <t>Additional Upfront</t>
  </si>
  <si>
    <t>Rate of Interest</t>
  </si>
  <si>
    <t>BAL Models</t>
  </si>
  <si>
    <t>Total Outflow</t>
  </si>
  <si>
    <t>Employee Scheme</t>
  </si>
  <si>
    <t>Tenure  &amp;  EMI</t>
  </si>
  <si>
    <t>Regular</t>
  </si>
  <si>
    <t>Employee</t>
  </si>
  <si>
    <t>Scheme Benefit</t>
  </si>
  <si>
    <t>Discount</t>
  </si>
  <si>
    <t>Total Benefit</t>
  </si>
  <si>
    <t>Category</t>
  </si>
  <si>
    <t>Segment</t>
  </si>
  <si>
    <t>Model</t>
  </si>
  <si>
    <t>ESRP Range</t>
  </si>
  <si>
    <t>Proposed discount</t>
  </si>
  <si>
    <t>% of proposed discount on ESRP</t>
  </si>
  <si>
    <t>MC</t>
  </si>
  <si>
    <t>M1</t>
  </si>
  <si>
    <t>Platina 100 KS</t>
  </si>
  <si>
    <t>60K - 110K</t>
  </si>
  <si>
    <t>Platina 100 ES</t>
  </si>
  <si>
    <t>CT110X ES</t>
  </si>
  <si>
    <t>M2</t>
  </si>
  <si>
    <t>Platina 110 Drum</t>
  </si>
  <si>
    <t>CNG</t>
  </si>
  <si>
    <t>M3</t>
  </si>
  <si>
    <t>Freedom 125 Disc LED</t>
  </si>
  <si>
    <t>Freedom 125 Drum</t>
  </si>
  <si>
    <t>Freedom 125 Drum LED</t>
  </si>
  <si>
    <t>Pulsar 125 Carbon Disc Single Seat</t>
  </si>
  <si>
    <t>Pulsar 125 Carbon Disc Split Seat</t>
  </si>
  <si>
    <t>Pulsar 125 Neon Disc</t>
  </si>
  <si>
    <t>EV</t>
  </si>
  <si>
    <t>Scooter</t>
  </si>
  <si>
    <t>Chetak 2903</t>
  </si>
  <si>
    <t>85K - 150K</t>
  </si>
  <si>
    <t>Pulsar N125 Mid</t>
  </si>
  <si>
    <t>Pulsar N125 Top</t>
  </si>
  <si>
    <t>Pulsar NS 125</t>
  </si>
  <si>
    <t>Pulsar NS 125 UG</t>
  </si>
  <si>
    <t>S1</t>
  </si>
  <si>
    <t>Pulsar 150 SD</t>
  </si>
  <si>
    <t>110K - 170K</t>
  </si>
  <si>
    <t>Pulsar 150 SD UG</t>
  </si>
  <si>
    <t>Pulsar 150 TD</t>
  </si>
  <si>
    <t>Avenger 160 Street</t>
  </si>
  <si>
    <t>Chetak 3502</t>
  </si>
  <si>
    <t>Pulsar N150 SD</t>
  </si>
  <si>
    <t>Pulsar N150 TD</t>
  </si>
  <si>
    <t>Pulsar N160</t>
  </si>
  <si>
    <t>Chetak 3501</t>
  </si>
  <si>
    <t>Pulsar NS 160 Base</t>
  </si>
  <si>
    <t>Pulsar N 160 UG</t>
  </si>
  <si>
    <t>Pulsar 220F</t>
  </si>
  <si>
    <t>Avenger 220 Cruise</t>
  </si>
  <si>
    <t>Pulsar NS 160 UG</t>
  </si>
  <si>
    <t>Pulsar NS 200 Base</t>
  </si>
  <si>
    <t>Pulsar F 250 UG</t>
  </si>
  <si>
    <t>Pulsar NS 200 UG</t>
  </si>
  <si>
    <t>S2</t>
  </si>
  <si>
    <t>Pulsar RS 200</t>
  </si>
  <si>
    <t>170K - 250K</t>
  </si>
  <si>
    <t>PBK</t>
  </si>
  <si>
    <t>Duke 125 ABS UG (00JP98)</t>
  </si>
  <si>
    <t>Pulsar RS 200 UG Introduction</t>
  </si>
  <si>
    <t>Pulsar NS 400z</t>
  </si>
  <si>
    <t>Dominar D250</t>
  </si>
  <si>
    <t>RC 125 ABS (JY0E)</t>
  </si>
  <si>
    <t>Triumph</t>
  </si>
  <si>
    <t>Speed T4 (400X  00TA15)</t>
  </si>
  <si>
    <t>Duke 200 TFT (00JP1G)</t>
  </si>
  <si>
    <t>VIT 250 MY24 (00JU88)</t>
  </si>
  <si>
    <t>RC 200 ABS (00JY0G)</t>
  </si>
  <si>
    <t>Duke 250 Gen3 (00JP88)</t>
  </si>
  <si>
    <t>Dominar D400</t>
  </si>
  <si>
    <t>Speed 400 UG (00TA40)</t>
  </si>
  <si>
    <t>Adventure 250 ABS (00JG48 &amp; JG64)</t>
  </si>
  <si>
    <t>Scrambler 400 (00TA02)</t>
  </si>
  <si>
    <t>250K - 300K</t>
  </si>
  <si>
    <t>Adventure X 390 (00JG72)</t>
  </si>
  <si>
    <t>Svart 401 MY24 (00JU90)</t>
  </si>
  <si>
    <t>Duke 390 Gen3 (00JP89)</t>
  </si>
  <si>
    <t>300K - 400K</t>
  </si>
  <si>
    <t>RC 390 ABS (00JY96)</t>
  </si>
  <si>
    <t>Adventure 390 ABS (00JG45 &amp; JG65)</t>
  </si>
  <si>
    <t>Adventure 390 Rally Spoke (00JG66)</t>
  </si>
  <si>
    <t>HPN Charges</t>
  </si>
  <si>
    <t>Down  Payment</t>
  </si>
  <si>
    <t xml:space="preserve">Tenure </t>
  </si>
  <si>
    <t>EMI</t>
  </si>
  <si>
    <t>Total Cost to Employee</t>
  </si>
  <si>
    <t>PF* + Other Charges</t>
  </si>
  <si>
    <t xml:space="preserve">Processing Fee (%) </t>
  </si>
  <si>
    <t xml:space="preserve">Additional Upfront  (Avg) </t>
  </si>
  <si>
    <t>Processing Fee (Amt Rs)</t>
  </si>
  <si>
    <t>NIL</t>
  </si>
  <si>
    <t>Model Name</t>
  </si>
  <si>
    <t>CT110X ES NXT</t>
  </si>
  <si>
    <t>Platina 100 ES NXT</t>
  </si>
  <si>
    <t>Platina 110 ES NXT</t>
  </si>
  <si>
    <t>Pulsar 125 CF Disc</t>
  </si>
  <si>
    <t>Pulsar 125 CF Disc SS</t>
  </si>
  <si>
    <t>Pulsar NS 125 UG ABS</t>
  </si>
  <si>
    <t>Pulsar 150 TD UG</t>
  </si>
  <si>
    <t>Pulsar N160 TD SC</t>
  </si>
  <si>
    <t>Pulsar N160 TD DC</t>
  </si>
  <si>
    <t>Pulsar 220 F</t>
  </si>
  <si>
    <t>Pulsar N250</t>
  </si>
  <si>
    <t>Pulsar N160 TD DC Split Seat</t>
  </si>
  <si>
    <t>Pulsar N160 UG</t>
  </si>
  <si>
    <t>Pulsar NS 400z UG</t>
  </si>
  <si>
    <t>Dominar D400 UG</t>
  </si>
  <si>
    <t>Dominar D250 UG</t>
  </si>
  <si>
    <t>Chetak 3001</t>
  </si>
  <si>
    <t>Chetak 3503</t>
  </si>
  <si>
    <t>Duke 200 TFT Speedo-OBD2B &amp; OBD2A</t>
  </si>
  <si>
    <t>Duke 250 BS VI Gen3-OBD2B &amp; OBD2A</t>
  </si>
  <si>
    <t>Duke 390 BS VI Gen 3 OBD2B &amp; OBD2A</t>
  </si>
  <si>
    <t>RC 200 BS VI OBD2B</t>
  </si>
  <si>
    <t>RC 390 BS VI OBD2B &amp; OBD2A</t>
  </si>
  <si>
    <t>Make</t>
  </si>
  <si>
    <t>Employee Benefit Calculator -  Finance</t>
  </si>
  <si>
    <t>Chetak</t>
  </si>
  <si>
    <t>Avenger</t>
  </si>
  <si>
    <t xml:space="preserve">CT </t>
  </si>
  <si>
    <t>Dominar</t>
  </si>
  <si>
    <t>Freedom</t>
  </si>
  <si>
    <t>Platina</t>
  </si>
  <si>
    <t>Pulsar</t>
  </si>
  <si>
    <t>KTM</t>
  </si>
  <si>
    <t>Select Make from the drop down</t>
  </si>
  <si>
    <t>Select Model from the drop down</t>
  </si>
  <si>
    <t>Tentative discount on Invoice Amount</t>
  </si>
  <si>
    <t>Total Benefit to employee</t>
  </si>
  <si>
    <t>Tentative interest benefit on finance</t>
  </si>
  <si>
    <t>Tentative cash discount on vehicle</t>
  </si>
  <si>
    <t xml:space="preserve">1. This is Indicative EMI calculator only. </t>
  </si>
  <si>
    <t>2. ROI &amp; PF is considered for BAL 2W general scheme.</t>
  </si>
  <si>
    <t>4. Stamp duty/ Govt. charges will be charged separately as per State norms by dealer.</t>
  </si>
  <si>
    <t>CT</t>
  </si>
  <si>
    <t>Husqvarna</t>
  </si>
  <si>
    <t>Vitpilen 250 OBD2B &amp; OBD2A</t>
  </si>
  <si>
    <t>Enduro 390 MY25</t>
  </si>
  <si>
    <t>SVARTPILEN 400-MY24-OBD2B &amp; OBD2A</t>
  </si>
  <si>
    <t>Adventre 250 MY25</t>
  </si>
  <si>
    <t>Adventure X 390 MY25</t>
  </si>
  <si>
    <t>Adventure 390 S MY25</t>
  </si>
  <si>
    <t>Speed 400</t>
  </si>
  <si>
    <t>Speed T4</t>
  </si>
  <si>
    <t>Speed T4 (Blue Color)</t>
  </si>
  <si>
    <t>Scrambler 400X</t>
  </si>
  <si>
    <t>Scrambler 400XC</t>
  </si>
  <si>
    <t>12 month</t>
  </si>
  <si>
    <t>18month</t>
  </si>
  <si>
    <t>24 month</t>
  </si>
  <si>
    <t>PF</t>
  </si>
  <si>
    <t>General Scheme - 90% LTV</t>
  </si>
  <si>
    <t>3. Cash discount calculation is tentative and based on Pune ORP (It may differ in other cities)</t>
  </si>
  <si>
    <t>Employee Benefit - Cash Purchase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</si>
</sst>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%"/>
  </numFmts>
  <fonts count="3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Aptos Narrow"/>
      <family val="2"/>
    </font>
    <font>
      <sz val="10"/>
      <color theme="1"/>
      <name val="Aptos Narrow"/>
      <family val="2"/>
    </font>
    <font>
      <sz val="10"/>
      <name val="Aptos Narrow"/>
      <family val="2"/>
    </font>
    <font>
      <sz val="10"/>
      <color rgb="FFFF0000"/>
      <name val="Aptos Narrow"/>
      <family val="2"/>
    </font>
    <font>
      <b/>
      <sz val="10"/>
      <color theme="1"/>
      <name val="Aptos Narrow"/>
      <family val="2"/>
      <scheme val="minor"/>
    </font>
    <font>
      <b/>
      <sz val="10"/>
      <name val="Aptos Narrow"/>
      <family val="2"/>
    </font>
    <font>
      <b/>
      <sz val="10"/>
      <color theme="1"/>
      <name val="Aptos Narrow"/>
      <family val="2"/>
    </font>
    <font>
      <b/>
      <sz val="12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</font>
    <font>
      <sz val="12"/>
      <name val="Aptos Narrow"/>
      <family val="2"/>
    </font>
    <font>
      <b/>
      <sz val="11"/>
      <color theme="5" tint="-0.249977111117893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sz val="10"/>
      <name val="Arial"/>
      <family val="2"/>
    </font>
    <font>
      <b/>
      <sz val="11"/>
      <color theme="0"/>
      <name val="Calibri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sz val="8"/>
      <color theme="1"/>
      <name val="Calibri"/>
      <family val="2"/>
    </font>
    <font>
      <sz val="16"/>
      <color theme="0"/>
      <name val="Calibri"/>
      <family val="2"/>
    </font>
    <font>
      <sz val="8"/>
      <color rgb="FF000000"/>
      <name val="Calibri"/>
      <family val="2"/>
    </font>
    <font>
      <b/>
      <sz val="8"/>
      <color theme="1"/>
      <name val="Calibri"/>
      <family val="2"/>
    </font>
    <font>
      <b/>
      <sz val="18"/>
      <color theme="0"/>
      <name val="Calibri"/>
      <family val="2"/>
    </font>
    <font>
      <sz val="9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2EEFA"/>
        <bgColor indexed="64"/>
      </patternFill>
    </fill>
    <fill>
      <patternFill patternType="solid">
        <fgColor theme="2" tint="-0.249977111117893"/>
        <bgColor indexed="64"/>
      </patternFill>
    </fill>
  </fills>
  <borders count="41">
    <border>
      <left/>
      <right/>
      <top/>
      <bottom/>
      <diagonal/>
    </border>
    <border>
      <left style="thin">
        <color theme="5" tint="-0.24994659260841701"/>
      </left>
      <right style="thin">
        <color theme="5" tint="-0.24994659260841701"/>
      </right>
      <top style="thin">
        <color theme="5" tint="-0.24994659260841701"/>
      </top>
      <bottom style="thin">
        <color theme="5" tint="-0.24994659260841701"/>
      </bottom>
      <diagonal/>
    </border>
    <border>
      <left style="medium">
        <color indexed="64"/>
      </left>
      <right style="thin">
        <color theme="5" tint="-0.24994659260841701"/>
      </right>
      <top style="medium">
        <color indexed="64"/>
      </top>
      <bottom style="thin">
        <color theme="5" tint="-0.24994659260841701"/>
      </bottom>
      <diagonal/>
    </border>
    <border>
      <left style="medium">
        <color indexed="64"/>
      </left>
      <right style="thin">
        <color theme="5" tint="-0.24994659260841701"/>
      </right>
      <top style="thin">
        <color theme="5" tint="-0.24994659260841701"/>
      </top>
      <bottom style="thin">
        <color theme="5" tint="-0.24994659260841701"/>
      </bottom>
      <diagonal/>
    </border>
    <border>
      <left style="medium">
        <color indexed="64"/>
      </left>
      <right style="thin">
        <color theme="5" tint="-0.24994659260841701"/>
      </right>
      <top style="thin">
        <color theme="5" tint="-0.24994659260841701"/>
      </top>
      <bottom style="medium">
        <color indexed="64"/>
      </bottom>
      <diagonal/>
    </border>
    <border>
      <left style="thin">
        <color theme="5" tint="-0.24994659260841701"/>
      </left>
      <right style="thin">
        <color theme="5" tint="-0.24994659260841701"/>
      </right>
      <top style="thin">
        <color theme="5" tint="-0.2499465926084170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5" tint="-0.24994659260841701"/>
      </bottom>
      <diagonal/>
    </border>
    <border>
      <left style="medium">
        <color indexed="64"/>
      </left>
      <right/>
      <top style="thin">
        <color theme="5" tint="-0.24994659260841701"/>
      </top>
      <bottom style="thin">
        <color theme="5" tint="-0.24994659260841701"/>
      </bottom>
      <diagonal/>
    </border>
    <border>
      <left style="medium">
        <color indexed="64"/>
      </left>
      <right/>
      <top style="thin">
        <color theme="5" tint="-0.24994659260841701"/>
      </top>
      <bottom style="medium">
        <color indexed="64"/>
      </bottom>
      <diagonal/>
    </border>
    <border>
      <left style="thin">
        <color theme="5" tint="-0.24994659260841701"/>
      </left>
      <right style="thin">
        <color theme="5" tint="-0.24994659260841701"/>
      </right>
      <top style="medium">
        <color indexed="64"/>
      </top>
      <bottom style="thin">
        <color theme="5" tint="-0.24994659260841701"/>
      </bottom>
      <diagonal/>
    </border>
    <border>
      <left style="thin">
        <color theme="5" tint="-0.24994659260841701"/>
      </left>
      <right style="medium">
        <color indexed="64"/>
      </right>
      <top style="medium">
        <color indexed="64"/>
      </top>
      <bottom style="thin">
        <color theme="5" tint="-0.24994659260841701"/>
      </bottom>
      <diagonal/>
    </border>
    <border>
      <left style="thin">
        <color theme="5" tint="-0.24994659260841701"/>
      </left>
      <right style="medium">
        <color indexed="64"/>
      </right>
      <top style="thin">
        <color theme="5" tint="-0.24994659260841701"/>
      </top>
      <bottom style="thin">
        <color theme="5" tint="-0.24994659260841701"/>
      </bottom>
      <diagonal/>
    </border>
    <border>
      <left style="thin">
        <color theme="5" tint="-0.24994659260841701"/>
      </left>
      <right style="medium">
        <color indexed="64"/>
      </right>
      <top style="thin">
        <color theme="5" tint="-0.2499465926084170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5" tint="-0.24994659260841701"/>
      </left>
      <right/>
      <top style="thin">
        <color theme="5" tint="-0.24994659260841701"/>
      </top>
      <bottom style="thin">
        <color theme="5" tint="-0.24994659260841701"/>
      </bottom>
      <diagonal/>
    </border>
    <border>
      <left/>
      <right style="medium">
        <color indexed="64"/>
      </right>
      <top/>
      <bottom/>
      <diagonal/>
    </border>
    <border>
      <left style="thin">
        <color theme="5" tint="-0.24994659260841701"/>
      </left>
      <right style="medium">
        <color theme="5" tint="-0.24994659260841701"/>
      </right>
      <top style="thin">
        <color theme="5" tint="-0.24994659260841701"/>
      </top>
      <bottom style="thin">
        <color theme="5" tint="-0.24994659260841701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164" fontId="21" fillId="0" borderId="0" applyFont="0" applyFill="0" applyBorder="0" applyAlignment="0" applyProtection="0"/>
  </cellStyleXfs>
  <cellXfs count="14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2" fillId="0" borderId="7" xfId="0" applyFont="1" applyBorder="1"/>
    <xf numFmtId="0" fontId="1" fillId="0" borderId="7" xfId="0" applyFont="1" applyBorder="1"/>
    <xf numFmtId="0" fontId="4" fillId="5" borderId="13" xfId="0" applyFont="1" applyFill="1" applyBorder="1" applyAlignment="1">
      <alignment vertical="center"/>
    </xf>
    <xf numFmtId="9" fontId="4" fillId="5" borderId="13" xfId="1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left" vertical="center"/>
    </xf>
    <xf numFmtId="0" fontId="5" fillId="0" borderId="13" xfId="0" applyFont="1" applyBorder="1"/>
    <xf numFmtId="3" fontId="5" fillId="0" borderId="13" xfId="0" applyNumberFormat="1" applyFont="1" applyBorder="1" applyAlignment="1">
      <alignment horizontal="center" vertical="center"/>
    </xf>
    <xf numFmtId="3" fontId="6" fillId="0" borderId="13" xfId="0" applyNumberFormat="1" applyFont="1" applyBorder="1" applyAlignment="1">
      <alignment horizontal="center" vertical="center"/>
    </xf>
    <xf numFmtId="10" fontId="5" fillId="0" borderId="13" xfId="1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left" vertical="center"/>
    </xf>
    <xf numFmtId="3" fontId="7" fillId="0" borderId="13" xfId="0" applyNumberFormat="1" applyFont="1" applyBorder="1" applyAlignment="1">
      <alignment horizontal="center" vertical="center"/>
    </xf>
    <xf numFmtId="9" fontId="1" fillId="0" borderId="3" xfId="0" applyNumberFormat="1" applyFont="1" applyBorder="1" applyAlignment="1">
      <alignment horizontal="center"/>
    </xf>
    <xf numFmtId="0" fontId="2" fillId="0" borderId="7" xfId="0" applyFont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0" borderId="13" xfId="0" applyFont="1" applyBorder="1" applyAlignment="1">
      <alignment vertical="center"/>
    </xf>
    <xf numFmtId="0" fontId="0" fillId="0" borderId="18" xfId="0" applyBorder="1"/>
    <xf numFmtId="1" fontId="1" fillId="2" borderId="11" xfId="0" applyNumberFormat="1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8" fillId="2" borderId="7" xfId="0" applyFont="1" applyFill="1" applyBorder="1"/>
    <xf numFmtId="0" fontId="9" fillId="0" borderId="13" xfId="0" applyFont="1" applyBorder="1" applyAlignment="1">
      <alignment horizontal="left" vertical="center"/>
    </xf>
    <xf numFmtId="0" fontId="10" fillId="0" borderId="13" xfId="0" applyFont="1" applyBorder="1"/>
    <xf numFmtId="3" fontId="10" fillId="0" borderId="13" xfId="0" applyNumberFormat="1" applyFont="1" applyBorder="1" applyAlignment="1">
      <alignment horizontal="center" vertical="center"/>
    </xf>
    <xf numFmtId="3" fontId="9" fillId="0" borderId="13" xfId="0" applyNumberFormat="1" applyFont="1" applyBorder="1" applyAlignment="1">
      <alignment horizontal="center" vertical="center"/>
    </xf>
    <xf numFmtId="10" fontId="10" fillId="0" borderId="13" xfId="1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1" fontId="1" fillId="0" borderId="0" xfId="0" applyNumberFormat="1" applyFont="1"/>
    <xf numFmtId="0" fontId="1" fillId="3" borderId="10" xfId="0" applyFont="1" applyFill="1" applyBorder="1" applyAlignment="1">
      <alignment horizontal="center" vertical="center"/>
    </xf>
    <xf numFmtId="0" fontId="13" fillId="7" borderId="17" xfId="0" applyFont="1" applyFill="1" applyBorder="1" applyAlignment="1">
      <alignment horizontal="left" vertical="center"/>
    </xf>
    <xf numFmtId="0" fontId="11" fillId="9" borderId="8" xfId="0" applyFont="1" applyFill="1" applyBorder="1"/>
    <xf numFmtId="0" fontId="14" fillId="0" borderId="4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1" fontId="11" fillId="9" borderId="12" xfId="0" applyNumberFormat="1" applyFont="1" applyFill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4" fillId="0" borderId="0" xfId="0" applyFont="1"/>
    <xf numFmtId="0" fontId="15" fillId="0" borderId="13" xfId="0" applyFont="1" applyBorder="1" applyAlignment="1">
      <alignment horizontal="left" vertical="center"/>
    </xf>
    <xf numFmtId="0" fontId="16" fillId="0" borderId="13" xfId="0" applyFont="1" applyBorder="1" applyAlignment="1">
      <alignment horizontal="left" vertical="center"/>
    </xf>
    <xf numFmtId="0" fontId="15" fillId="0" borderId="13" xfId="0" applyFont="1" applyBorder="1"/>
    <xf numFmtId="3" fontId="15" fillId="0" borderId="13" xfId="0" applyNumberFormat="1" applyFont="1" applyBorder="1" applyAlignment="1">
      <alignment horizontal="center" vertical="center"/>
    </xf>
    <xf numFmtId="3" fontId="16" fillId="0" borderId="13" xfId="0" applyNumberFormat="1" applyFont="1" applyBorder="1" applyAlignment="1">
      <alignment horizontal="center" vertical="center"/>
    </xf>
    <xf numFmtId="10" fontId="15" fillId="0" borderId="13" xfId="1" applyNumberFormat="1" applyFont="1" applyBorder="1" applyAlignment="1">
      <alignment horizontal="center" vertical="center"/>
    </xf>
    <xf numFmtId="1" fontId="0" fillId="3" borderId="11" xfId="0" applyNumberForma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17" fillId="0" borderId="6" xfId="0" applyFont="1" applyBorder="1" applyAlignment="1">
      <alignment vertical="center"/>
    </xf>
    <xf numFmtId="0" fontId="1" fillId="6" borderId="3" xfId="0" applyFont="1" applyFill="1" applyBorder="1" applyAlignment="1">
      <alignment horizontal="center"/>
    </xf>
    <xf numFmtId="1" fontId="1" fillId="4" borderId="19" xfId="0" applyNumberFormat="1" applyFont="1" applyFill="1" applyBorder="1" applyAlignment="1">
      <alignment horizontal="center"/>
    </xf>
    <xf numFmtId="0" fontId="18" fillId="0" borderId="13" xfId="0" applyFont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10" fontId="18" fillId="0" borderId="13" xfId="0" applyNumberFormat="1" applyFont="1" applyBorder="1" applyAlignment="1">
      <alignment horizontal="center"/>
    </xf>
    <xf numFmtId="1" fontId="18" fillId="4" borderId="13" xfId="0" applyNumberFormat="1" applyFont="1" applyFill="1" applyBorder="1" applyAlignment="1">
      <alignment horizontal="center"/>
    </xf>
    <xf numFmtId="1" fontId="18" fillId="0" borderId="13" xfId="0" applyNumberFormat="1" applyFont="1" applyBorder="1" applyAlignment="1">
      <alignment horizontal="center" vertical="center"/>
    </xf>
    <xf numFmtId="1" fontId="20" fillId="4" borderId="13" xfId="0" applyNumberFormat="1" applyFont="1" applyFill="1" applyBorder="1" applyAlignment="1">
      <alignment horizontal="center"/>
    </xf>
    <xf numFmtId="1" fontId="23" fillId="3" borderId="13" xfId="0" applyNumberFormat="1" applyFont="1" applyFill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7" fillId="0" borderId="0" xfId="0" applyFont="1"/>
    <xf numFmtId="0" fontId="27" fillId="0" borderId="0" xfId="0" applyFont="1" applyAlignment="1">
      <alignment horizontal="left"/>
    </xf>
    <xf numFmtId="0" fontId="27" fillId="0" borderId="0" xfId="0" applyFont="1" applyAlignment="1">
      <alignment horizontal="center"/>
    </xf>
    <xf numFmtId="0" fontId="26" fillId="0" borderId="0" xfId="0" applyFont="1" applyAlignment="1">
      <alignment vertical="center"/>
    </xf>
    <xf numFmtId="0" fontId="27" fillId="11" borderId="22" xfId="0" applyFont="1" applyFill="1" applyBorder="1"/>
    <xf numFmtId="0" fontId="27" fillId="11" borderId="23" xfId="0" applyFont="1" applyFill="1" applyBorder="1"/>
    <xf numFmtId="0" fontId="27" fillId="11" borderId="18" xfId="0" applyFont="1" applyFill="1" applyBorder="1"/>
    <xf numFmtId="0" fontId="27" fillId="0" borderId="0" xfId="0" applyFont="1" applyAlignment="1">
      <alignment vertical="center"/>
    </xf>
    <xf numFmtId="0" fontId="27" fillId="8" borderId="23" xfId="0" applyFont="1" applyFill="1" applyBorder="1"/>
    <xf numFmtId="0" fontId="27" fillId="8" borderId="18" xfId="0" applyFont="1" applyFill="1" applyBorder="1"/>
    <xf numFmtId="0" fontId="27" fillId="0" borderId="23" xfId="0" applyFont="1" applyBorder="1"/>
    <xf numFmtId="0" fontId="27" fillId="0" borderId="18" xfId="0" applyFont="1" applyBorder="1" applyAlignment="1">
      <alignment vertical="center"/>
    </xf>
    <xf numFmtId="0" fontId="30" fillId="0" borderId="23" xfId="0" applyFont="1" applyBorder="1"/>
    <xf numFmtId="0" fontId="30" fillId="0" borderId="0" xfId="0" applyFont="1"/>
    <xf numFmtId="0" fontId="27" fillId="0" borderId="18" xfId="0" applyFont="1" applyBorder="1"/>
    <xf numFmtId="0" fontId="27" fillId="0" borderId="18" xfId="0" applyFont="1" applyBorder="1" applyAlignment="1">
      <alignment horizontal="center"/>
    </xf>
    <xf numFmtId="0" fontId="26" fillId="0" borderId="0" xfId="0" applyFont="1"/>
    <xf numFmtId="0" fontId="27" fillId="0" borderId="0" xfId="0" applyFont="1" applyAlignment="1">
      <alignment horizontal="center" vertical="center"/>
    </xf>
    <xf numFmtId="0" fontId="27" fillId="0" borderId="24" xfId="0" applyFont="1" applyBorder="1"/>
    <xf numFmtId="0" fontId="27" fillId="0" borderId="25" xfId="0" applyFont="1" applyBorder="1"/>
    <xf numFmtId="0" fontId="27" fillId="0" borderId="25" xfId="0" applyFont="1" applyBorder="1" applyAlignment="1">
      <alignment horizontal="center"/>
    </xf>
    <xf numFmtId="0" fontId="27" fillId="0" borderId="26" xfId="0" applyFont="1" applyBorder="1"/>
    <xf numFmtId="0" fontId="32" fillId="0" borderId="0" xfId="0" applyFont="1" applyAlignment="1">
      <alignment horizontal="left" wrapText="1"/>
    </xf>
    <xf numFmtId="0" fontId="20" fillId="0" borderId="36" xfId="0" applyFont="1" applyBorder="1" applyAlignment="1">
      <alignment horizontal="center" vertical="center"/>
    </xf>
    <xf numFmtId="0" fontId="27" fillId="11" borderId="21" xfId="0" applyFont="1" applyFill="1" applyBorder="1"/>
    <xf numFmtId="0" fontId="28" fillId="8" borderId="0" xfId="0" applyFont="1" applyFill="1" applyAlignment="1">
      <alignment horizontal="center" vertical="center"/>
    </xf>
    <xf numFmtId="0" fontId="22" fillId="11" borderId="36" xfId="0" applyFont="1" applyFill="1" applyBorder="1" applyAlignment="1">
      <alignment horizontal="center" vertical="center"/>
    </xf>
    <xf numFmtId="0" fontId="22" fillId="11" borderId="36" xfId="0" applyFont="1" applyFill="1" applyBorder="1" applyAlignment="1">
      <alignment vertical="center"/>
    </xf>
    <xf numFmtId="0" fontId="22" fillId="11" borderId="36" xfId="0" applyFont="1" applyFill="1" applyBorder="1" applyAlignment="1">
      <alignment vertical="center" wrapText="1"/>
    </xf>
    <xf numFmtId="0" fontId="18" fillId="7" borderId="36" xfId="0" applyFont="1" applyFill="1" applyBorder="1" applyAlignment="1">
      <alignment horizontal="left" vertical="center"/>
    </xf>
    <xf numFmtId="0" fontId="22" fillId="11" borderId="36" xfId="0" applyFont="1" applyFill="1" applyBorder="1"/>
    <xf numFmtId="0" fontId="20" fillId="3" borderId="36" xfId="0" applyFont="1" applyFill="1" applyBorder="1" applyAlignment="1">
      <alignment horizontal="left" vertical="center" wrapText="1"/>
    </xf>
    <xf numFmtId="1" fontId="19" fillId="0" borderId="13" xfId="0" applyNumberFormat="1" applyFont="1" applyBorder="1" applyAlignment="1">
      <alignment horizontal="center" vertical="center"/>
    </xf>
    <xf numFmtId="1" fontId="27" fillId="0" borderId="13" xfId="0" applyNumberFormat="1" applyFont="1" applyBorder="1" applyAlignment="1">
      <alignment horizontal="center" vertical="center"/>
    </xf>
    <xf numFmtId="0" fontId="19" fillId="0" borderId="13" xfId="0" applyFont="1" applyBorder="1" applyAlignment="1">
      <alignment horizontal="center"/>
    </xf>
    <xf numFmtId="1" fontId="18" fillId="0" borderId="13" xfId="0" applyNumberFormat="1" applyFont="1" applyBorder="1" applyAlignment="1">
      <alignment horizontal="center"/>
    </xf>
    <xf numFmtId="9" fontId="29" fillId="0" borderId="0" xfId="1" applyFont="1" applyAlignment="1">
      <alignment horizontal="right" vertical="center"/>
    </xf>
    <xf numFmtId="9" fontId="27" fillId="0" borderId="0" xfId="0" applyNumberFormat="1" applyFont="1"/>
    <xf numFmtId="10" fontId="29" fillId="0" borderId="0" xfId="1" applyNumberFormat="1" applyFont="1" applyAlignment="1">
      <alignment horizontal="right" vertical="center"/>
    </xf>
    <xf numFmtId="9" fontId="27" fillId="0" borderId="0" xfId="0" applyNumberFormat="1" applyFont="1" applyAlignment="1">
      <alignment horizontal="center"/>
    </xf>
    <xf numFmtId="10" fontId="27" fillId="0" borderId="0" xfId="0" applyNumberFormat="1" applyFont="1"/>
    <xf numFmtId="0" fontId="25" fillId="0" borderId="0" xfId="0" applyFont="1" applyAlignment="1">
      <alignment vertical="center"/>
    </xf>
    <xf numFmtId="10" fontId="19" fillId="0" borderId="13" xfId="1" applyNumberFormat="1" applyFont="1" applyFill="1" applyBorder="1" applyAlignment="1">
      <alignment horizontal="center" vertical="center"/>
    </xf>
    <xf numFmtId="165" fontId="19" fillId="0" borderId="13" xfId="1" applyNumberFormat="1" applyFont="1" applyFill="1" applyBorder="1" applyAlignment="1">
      <alignment horizontal="center" vertical="center"/>
    </xf>
    <xf numFmtId="0" fontId="20" fillId="14" borderId="38" xfId="0" applyFont="1" applyFill="1" applyBorder="1" applyAlignment="1">
      <alignment horizontal="center" vertical="center"/>
    </xf>
    <xf numFmtId="0" fontId="20" fillId="14" borderId="39" xfId="0" applyFont="1" applyFill="1" applyBorder="1" applyAlignment="1">
      <alignment horizontal="center" vertical="center"/>
    </xf>
    <xf numFmtId="0" fontId="20" fillId="14" borderId="40" xfId="0" applyFont="1" applyFill="1" applyBorder="1" applyAlignment="1">
      <alignment horizontal="center" vertical="center"/>
    </xf>
    <xf numFmtId="0" fontId="31" fillId="11" borderId="13" xfId="0" applyFont="1" applyFill="1" applyBorder="1" applyAlignment="1">
      <alignment horizontal="center" vertical="center" wrapText="1"/>
    </xf>
    <xf numFmtId="0" fontId="26" fillId="4" borderId="31" xfId="0" applyFont="1" applyFill="1" applyBorder="1" applyAlignment="1">
      <alignment horizontal="center" vertical="center"/>
    </xf>
    <xf numFmtId="0" fontId="26" fillId="4" borderId="32" xfId="0" applyFont="1" applyFill="1" applyBorder="1" applyAlignment="1">
      <alignment horizontal="center" vertical="center"/>
    </xf>
    <xf numFmtId="0" fontId="20" fillId="2" borderId="13" xfId="0" applyFont="1" applyFill="1" applyBorder="1" applyAlignment="1" applyProtection="1">
      <alignment horizontal="center" vertical="center"/>
      <protection locked="0"/>
    </xf>
    <xf numFmtId="0" fontId="26" fillId="4" borderId="13" xfId="0" applyFont="1" applyFill="1" applyBorder="1" applyAlignment="1">
      <alignment horizontal="center" vertical="center"/>
    </xf>
    <xf numFmtId="0" fontId="26" fillId="4" borderId="37" xfId="0" applyFont="1" applyFill="1" applyBorder="1" applyAlignment="1">
      <alignment horizontal="center" vertical="center"/>
    </xf>
    <xf numFmtId="0" fontId="20" fillId="13" borderId="13" xfId="0" applyFont="1" applyFill="1" applyBorder="1" applyAlignment="1">
      <alignment horizontal="center" vertical="center" wrapText="1"/>
    </xf>
    <xf numFmtId="0" fontId="20" fillId="2" borderId="33" xfId="0" applyFont="1" applyFill="1" applyBorder="1" applyAlignment="1" applyProtection="1">
      <alignment horizontal="center" vertical="center"/>
      <protection locked="0"/>
    </xf>
    <xf numFmtId="0" fontId="20" fillId="2" borderId="34" xfId="0" applyFont="1" applyFill="1" applyBorder="1" applyAlignment="1" applyProtection="1">
      <alignment horizontal="center" vertical="center"/>
      <protection locked="0"/>
    </xf>
    <xf numFmtId="0" fontId="20" fillId="2" borderId="35" xfId="0" applyFont="1" applyFill="1" applyBorder="1" applyAlignment="1" applyProtection="1">
      <alignment horizontal="center" vertical="center"/>
      <protection locked="0"/>
    </xf>
    <xf numFmtId="0" fontId="23" fillId="2" borderId="27" xfId="0" applyFont="1" applyFill="1" applyBorder="1" applyAlignment="1">
      <alignment horizontal="center" vertical="center"/>
    </xf>
    <xf numFmtId="0" fontId="23" fillId="2" borderId="28" xfId="0" applyFont="1" applyFill="1" applyBorder="1" applyAlignment="1">
      <alignment horizontal="center" vertical="center"/>
    </xf>
    <xf numFmtId="0" fontId="31" fillId="11" borderId="20" xfId="0" applyFont="1" applyFill="1" applyBorder="1" applyAlignment="1">
      <alignment horizontal="center" vertical="center" wrapText="1"/>
    </xf>
    <xf numFmtId="0" fontId="31" fillId="11" borderId="20" xfId="0" applyFont="1" applyFill="1" applyBorder="1" applyAlignment="1">
      <alignment horizontal="center" vertical="center"/>
    </xf>
    <xf numFmtId="0" fontId="31" fillId="11" borderId="0" xfId="0" applyFont="1" applyFill="1" applyAlignment="1">
      <alignment horizontal="center" vertical="center"/>
    </xf>
    <xf numFmtId="1" fontId="23" fillId="2" borderId="13" xfId="0" applyNumberFormat="1" applyFont="1" applyFill="1" applyBorder="1" applyAlignment="1" applyProtection="1">
      <alignment horizontal="center" vertical="center"/>
      <protection locked="0"/>
    </xf>
    <xf numFmtId="0" fontId="24" fillId="12" borderId="13" xfId="0" applyFont="1" applyFill="1" applyBorder="1" applyAlignment="1">
      <alignment horizontal="center" vertical="center"/>
    </xf>
    <xf numFmtId="0" fontId="20" fillId="3" borderId="13" xfId="0" applyFont="1" applyFill="1" applyBorder="1" applyAlignment="1">
      <alignment horizontal="center" vertical="center"/>
    </xf>
    <xf numFmtId="0" fontId="25" fillId="3" borderId="13" xfId="0" applyFont="1" applyFill="1" applyBorder="1" applyAlignment="1">
      <alignment horizontal="center" vertical="center"/>
    </xf>
    <xf numFmtId="0" fontId="30" fillId="0" borderId="13" xfId="0" applyFont="1" applyBorder="1" applyAlignment="1">
      <alignment horizontal="center"/>
    </xf>
    <xf numFmtId="1" fontId="23" fillId="3" borderId="27" xfId="0" applyNumberFormat="1" applyFont="1" applyFill="1" applyBorder="1" applyAlignment="1">
      <alignment horizontal="center" vertical="center"/>
    </xf>
    <xf numFmtId="1" fontId="23" fillId="3" borderId="29" xfId="0" applyNumberFormat="1" applyFont="1" applyFill="1" applyBorder="1" applyAlignment="1">
      <alignment horizontal="center" vertical="center"/>
    </xf>
    <xf numFmtId="1" fontId="23" fillId="3" borderId="28" xfId="0" applyNumberFormat="1" applyFont="1" applyFill="1" applyBorder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2" fillId="0" borderId="0" xfId="0" applyFont="1" applyAlignment="1">
      <alignment horizontal="left"/>
    </xf>
    <xf numFmtId="0" fontId="12" fillId="9" borderId="14" xfId="0" applyFont="1" applyFill="1" applyBorder="1" applyAlignment="1">
      <alignment horizontal="left" vertical="center" wrapText="1"/>
    </xf>
    <xf numFmtId="0" fontId="12" fillId="9" borderId="15" xfId="0" applyFont="1" applyFill="1" applyBorder="1" applyAlignment="1">
      <alignment horizontal="left" vertical="center" wrapText="1"/>
    </xf>
    <xf numFmtId="0" fontId="12" fillId="9" borderId="16" xfId="0" applyFont="1" applyFill="1" applyBorder="1" applyAlignment="1">
      <alignment horizontal="left" vertical="center" wrapText="1"/>
    </xf>
    <xf numFmtId="0" fontId="32" fillId="0" borderId="0" xfId="0" applyFont="1" applyAlignment="1">
      <alignment horizontal="left" vertical="top" wrapText="1"/>
    </xf>
    <xf numFmtId="0" fontId="20" fillId="10" borderId="38" xfId="0" applyFont="1" applyFill="1" applyBorder="1" applyAlignment="1">
      <alignment horizontal="center" vertical="center"/>
    </xf>
    <xf numFmtId="0" fontId="20" fillId="10" borderId="39" xfId="0" applyFont="1" applyFill="1" applyBorder="1" applyAlignment="1">
      <alignment horizontal="center" vertical="center"/>
    </xf>
    <xf numFmtId="0" fontId="20" fillId="10" borderId="40" xfId="0" applyFont="1" applyFill="1" applyBorder="1" applyAlignment="1">
      <alignment horizontal="center" vertical="center"/>
    </xf>
  </cellXfs>
  <cellStyles count="3">
    <cellStyle name="Comma 10" xfId="2" xr:uid="{D033C230-4A91-4C7E-B872-1C0BCAC933FA}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E2EEFA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17318</xdr:colOff>
      <xdr:row>4</xdr:row>
      <xdr:rowOff>19052</xdr:rowOff>
    </xdr:from>
    <xdr:to>
      <xdr:col>1</xdr:col>
      <xdr:colOff>639618</xdr:colOff>
      <xdr:row>5</xdr:row>
      <xdr:rowOff>157164</xdr:rowOff>
    </xdr:to>
    <xdr:pic>
      <xdr:nvPicPr>
        <xdr:cNvPr id="2" name="Picture 1" descr="A black background with white text&#10;&#10;AI-generated content may be incorrect.">
          <a:extLst>
            <a:ext uri="{FF2B5EF4-FFF2-40B4-BE49-F238E27FC236}">
              <a16:creationId xmlns:a16="http://schemas.microsoft.com/office/drawing/2014/main" id="{7FA3D33F-A5DB-4D8A-9B40-7EC89F4899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959" t="34973" r="29856" b="34863"/>
        <a:stretch/>
      </xdr:blipFill>
      <xdr:spPr>
        <a:xfrm>
          <a:off x="103043" y="609602"/>
          <a:ext cx="622300" cy="328612"/>
        </a:xfrm>
        <a:prstGeom prst="rect">
          <a:avLst/>
        </a:prstGeom>
      </xdr:spPr>
    </xdr:pic>
    <xdr:clientData/>
  </xdr:twoCellAnchor>
  <xdr:twoCellAnchor editAs="oneCell">
    <xdr:from>
      <xdr:col>9</xdr:col>
      <xdr:colOff>463260</xdr:colOff>
      <xdr:row>4</xdr:row>
      <xdr:rowOff>42287</xdr:rowOff>
    </xdr:from>
    <xdr:to>
      <xdr:col>9</xdr:col>
      <xdr:colOff>1291936</xdr:colOff>
      <xdr:row>5</xdr:row>
      <xdr:rowOff>149802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119CFE-2056-4E46-AE05-509440578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21185" y="632837"/>
          <a:ext cx="828676" cy="2980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38099</xdr:colOff>
      <xdr:row>16</xdr:row>
      <xdr:rowOff>66675</xdr:rowOff>
    </xdr:from>
    <xdr:to>
      <xdr:col>9</xdr:col>
      <xdr:colOff>1276350</xdr:colOff>
      <xdr:row>23</xdr:row>
      <xdr:rowOff>66675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8497F15-ED64-4388-878B-B782E2F679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171" t="4697" r="12836" b="6040"/>
        <a:stretch/>
      </xdr:blipFill>
      <xdr:spPr>
        <a:xfrm>
          <a:off x="6296024" y="2733675"/>
          <a:ext cx="1238251" cy="1085850"/>
        </a:xfrm>
        <a:prstGeom prst="rect">
          <a:avLst/>
        </a:prstGeom>
      </xdr:spPr>
    </xdr:pic>
    <xdr:clientData/>
  </xdr:twoCellAnchor>
  <xdr:twoCellAnchor>
    <xdr:from>
      <xdr:col>9</xdr:col>
      <xdr:colOff>28574</xdr:colOff>
      <xdr:row>6</xdr:row>
      <xdr:rowOff>114300</xdr:rowOff>
    </xdr:from>
    <xdr:to>
      <xdr:col>9</xdr:col>
      <xdr:colOff>1295399</xdr:colOff>
      <xdr:row>8</xdr:row>
      <xdr:rowOff>28576</xdr:rowOff>
    </xdr:to>
    <xdr:sp macro="" textlink="">
      <xdr:nvSpPr>
        <xdr:cNvPr id="5" name="Arrow: Left 4">
          <a:extLst>
            <a:ext uri="{FF2B5EF4-FFF2-40B4-BE49-F238E27FC236}">
              <a16:creationId xmlns:a16="http://schemas.microsoft.com/office/drawing/2014/main" id="{534BE840-2C4E-4567-A31E-CE0C4A939998}"/>
            </a:ext>
          </a:extLst>
        </xdr:cNvPr>
        <xdr:cNvSpPr/>
      </xdr:nvSpPr>
      <xdr:spPr>
        <a:xfrm>
          <a:off x="6286499" y="1047750"/>
          <a:ext cx="1266825" cy="228601"/>
        </a:xfrm>
        <a:prstGeom prst="leftArrow">
          <a:avLst>
            <a:gd name="adj1" fmla="val 50000"/>
            <a:gd name="adj2" fmla="val 52222"/>
          </a:avLst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800">
              <a:solidFill>
                <a:sysClr val="windowText" lastClr="000000"/>
              </a:solidFill>
              <a:latin typeface="Calibri" panose="020F0502020204030204" pitchFamily="34" charset="0"/>
              <a:cs typeface="Calibri" panose="020F0502020204030204" pitchFamily="34" charset="0"/>
            </a:rPr>
            <a:t>Enter the loan amount</a:t>
          </a:r>
        </a:p>
      </xdr:txBody>
    </xdr:sp>
    <xdr:clientData/>
  </xdr:twoCellAnchor>
  <xdr:twoCellAnchor editAs="oneCell">
    <xdr:from>
      <xdr:col>9</xdr:col>
      <xdr:colOff>66675</xdr:colOff>
      <xdr:row>9</xdr:row>
      <xdr:rowOff>88186</xdr:rowOff>
    </xdr:from>
    <xdr:to>
      <xdr:col>9</xdr:col>
      <xdr:colOff>1238250</xdr:colOff>
      <xdr:row>15</xdr:row>
      <xdr:rowOff>76199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F6306E1-9D1B-4BBB-9E76-12B876EB29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4600" y="1421686"/>
          <a:ext cx="1171575" cy="11310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6B07B-F504-4579-B2AA-67516AFF70C5}">
  <dimension ref="B1:AG113"/>
  <sheetViews>
    <sheetView showGridLines="0" tabSelected="1" zoomScaleNormal="100" workbookViewId="0">
      <selection activeCell="C3" sqref="C3:F3"/>
    </sheetView>
  </sheetViews>
  <sheetFormatPr defaultRowHeight="11.25" x14ac:dyDescent="0.2"/>
  <cols>
    <col min="1" max="1" width="1.28515625" style="70" customWidth="1"/>
    <col min="2" max="2" width="34.42578125" style="70" bestFit="1" customWidth="1"/>
    <col min="3" max="3" width="7" style="70" bestFit="1" customWidth="1"/>
    <col min="4" max="4" width="10.140625" style="70" customWidth="1"/>
    <col min="5" max="5" width="11.42578125" style="72" customWidth="1"/>
    <col min="6" max="6" width="0.5703125" style="72" customWidth="1"/>
    <col min="7" max="8" width="9.42578125" style="72" customWidth="1"/>
    <col min="9" max="9" width="10.140625" style="70" customWidth="1"/>
    <col min="10" max="10" width="20" style="70" customWidth="1"/>
    <col min="11" max="11" width="1.85546875" style="70" customWidth="1"/>
    <col min="12" max="12" width="7.85546875" style="70" customWidth="1"/>
    <col min="13" max="13" width="9.140625" style="72" customWidth="1"/>
    <col min="14" max="14" width="5.7109375" style="72" customWidth="1"/>
    <col min="15" max="15" width="6.85546875" style="72" customWidth="1"/>
    <col min="16" max="16" width="9.140625" style="72"/>
    <col min="17" max="17" width="0.28515625" style="72" customWidth="1"/>
    <col min="18" max="18" width="0" style="72" hidden="1" customWidth="1"/>
    <col min="19" max="19" width="34.85546875" style="70" hidden="1" customWidth="1"/>
    <col min="20" max="20" width="10.5703125" style="70" hidden="1" customWidth="1"/>
    <col min="21" max="21" width="24.7109375" style="70" hidden="1" customWidth="1"/>
    <col min="22" max="22" width="8.85546875" style="70" hidden="1" customWidth="1"/>
    <col min="23" max="23" width="14.7109375" style="70" hidden="1" customWidth="1"/>
    <col min="24" max="24" width="9.140625" style="70" hidden="1" customWidth="1"/>
    <col min="25" max="25" width="14" style="70" hidden="1" customWidth="1"/>
    <col min="26" max="26" width="13.42578125" style="70" hidden="1" customWidth="1"/>
    <col min="27" max="27" width="30" style="70" hidden="1" customWidth="1"/>
    <col min="28" max="28" width="17.140625" style="70" hidden="1" customWidth="1"/>
    <col min="29" max="29" width="17.42578125" style="70" hidden="1" customWidth="1"/>
    <col min="30" max="30" width="17.85546875" style="70" hidden="1" customWidth="1"/>
    <col min="31" max="31" width="35.28515625" style="70" hidden="1" customWidth="1"/>
    <col min="32" max="33" width="9.140625" style="70" hidden="1" customWidth="1"/>
    <col min="34" max="16384" width="9.140625" style="70"/>
  </cols>
  <sheetData>
    <row r="1" spans="2:32" ht="8.25" customHeight="1" thickBot="1" x14ac:dyDescent="0.25">
      <c r="C1" s="71"/>
      <c r="D1" s="71"/>
      <c r="E1" s="71"/>
      <c r="F1" s="71"/>
      <c r="G1" s="71"/>
      <c r="H1" s="71"/>
      <c r="I1" s="71"/>
    </row>
    <row r="2" spans="2:32" ht="15.75" customHeight="1" x14ac:dyDescent="0.2">
      <c r="B2" s="69" t="s">
        <v>125</v>
      </c>
      <c r="C2" s="124" t="s">
        <v>132</v>
      </c>
      <c r="D2" s="125"/>
      <c r="E2" s="125"/>
      <c r="F2" s="126"/>
      <c r="G2" s="118" t="s">
        <v>135</v>
      </c>
      <c r="H2" s="118"/>
      <c r="I2" s="118"/>
      <c r="J2" s="119"/>
      <c r="K2" s="73"/>
      <c r="L2" s="73"/>
      <c r="M2" s="73"/>
      <c r="N2" s="73"/>
      <c r="O2" s="73"/>
      <c r="P2" s="73"/>
      <c r="Q2" s="73"/>
    </row>
    <row r="3" spans="2:32" ht="15" customHeight="1" x14ac:dyDescent="0.2">
      <c r="B3" s="93" t="s">
        <v>17</v>
      </c>
      <c r="C3" s="120" t="s">
        <v>103</v>
      </c>
      <c r="D3" s="120"/>
      <c r="E3" s="120"/>
      <c r="F3" s="120"/>
      <c r="G3" s="121" t="s">
        <v>136</v>
      </c>
      <c r="H3" s="121"/>
      <c r="I3" s="121"/>
      <c r="J3" s="122"/>
      <c r="K3" s="73"/>
      <c r="L3" s="73"/>
      <c r="M3" s="73"/>
      <c r="N3" s="73"/>
      <c r="O3" s="73"/>
      <c r="P3" s="73"/>
      <c r="Q3" s="73"/>
    </row>
    <row r="4" spans="2:32" ht="7.5" customHeight="1" thickBot="1" x14ac:dyDescent="0.25">
      <c r="B4" s="80"/>
      <c r="J4" s="84"/>
    </row>
    <row r="5" spans="2:32" ht="15" customHeight="1" x14ac:dyDescent="0.2">
      <c r="B5" s="94"/>
      <c r="C5" s="129" t="s">
        <v>126</v>
      </c>
      <c r="D5" s="129"/>
      <c r="E5" s="130"/>
      <c r="F5" s="130"/>
      <c r="G5" s="130"/>
      <c r="H5" s="130"/>
      <c r="I5" s="130"/>
      <c r="J5" s="74"/>
      <c r="L5" s="117" t="s">
        <v>163</v>
      </c>
      <c r="M5" s="117"/>
      <c r="N5" s="117"/>
      <c r="O5" s="117"/>
      <c r="P5" s="117"/>
      <c r="Q5" s="117"/>
    </row>
    <row r="6" spans="2:32" ht="14.25" customHeight="1" x14ac:dyDescent="0.25">
      <c r="B6" s="75"/>
      <c r="C6" s="131"/>
      <c r="D6" s="131"/>
      <c r="E6" s="131"/>
      <c r="F6" s="131"/>
      <c r="G6" s="131"/>
      <c r="H6" s="131"/>
      <c r="I6" s="131"/>
      <c r="J6" s="76"/>
      <c r="L6" s="117"/>
      <c r="M6" s="117"/>
      <c r="N6" s="117"/>
      <c r="O6" s="117"/>
      <c r="P6" s="117"/>
      <c r="Q6" s="117"/>
      <c r="T6" s="2" t="s">
        <v>125</v>
      </c>
      <c r="U6" s="2" t="s">
        <v>101</v>
      </c>
      <c r="V6" s="2" t="s">
        <v>13</v>
      </c>
      <c r="W6" s="77" t="s">
        <v>128</v>
      </c>
      <c r="X6" s="77" t="s">
        <v>127</v>
      </c>
      <c r="Y6" s="77" t="s">
        <v>129</v>
      </c>
      <c r="Z6" s="77" t="s">
        <v>130</v>
      </c>
      <c r="AA6" s="77" t="s">
        <v>145</v>
      </c>
      <c r="AB6" s="77" t="s">
        <v>131</v>
      </c>
      <c r="AC6" s="77" t="s">
        <v>132</v>
      </c>
      <c r="AD6" s="77" t="s">
        <v>133</v>
      </c>
      <c r="AE6" s="77" t="s">
        <v>134</v>
      </c>
      <c r="AF6" s="77" t="s">
        <v>73</v>
      </c>
    </row>
    <row r="7" spans="2:32" ht="6.75" customHeight="1" x14ac:dyDescent="0.25">
      <c r="B7" s="78"/>
      <c r="C7" s="95"/>
      <c r="D7" s="95"/>
      <c r="E7" s="95"/>
      <c r="F7" s="95"/>
      <c r="G7" s="95"/>
      <c r="H7" s="95"/>
      <c r="I7" s="95"/>
      <c r="J7" s="79"/>
      <c r="L7" s="117"/>
      <c r="M7" s="117"/>
      <c r="N7" s="117"/>
      <c r="O7" s="117"/>
      <c r="P7" s="117"/>
      <c r="Q7" s="117"/>
      <c r="T7" t="s">
        <v>144</v>
      </c>
      <c r="U7" t="s">
        <v>102</v>
      </c>
      <c r="V7">
        <v>1550</v>
      </c>
      <c r="W7" t="s">
        <v>50</v>
      </c>
      <c r="X7" t="s">
        <v>39</v>
      </c>
      <c r="Y7" t="s">
        <v>102</v>
      </c>
      <c r="Z7" t="s">
        <v>116</v>
      </c>
      <c r="AA7" t="s">
        <v>146</v>
      </c>
      <c r="AB7" t="s">
        <v>31</v>
      </c>
      <c r="AC7" t="s">
        <v>103</v>
      </c>
      <c r="AD7" t="s">
        <v>36</v>
      </c>
      <c r="AE7" t="s">
        <v>120</v>
      </c>
      <c r="AF7" t="s">
        <v>152</v>
      </c>
    </row>
    <row r="8" spans="2:32" ht="15.75" x14ac:dyDescent="0.25">
      <c r="B8" s="80"/>
      <c r="C8" s="127" t="s">
        <v>1</v>
      </c>
      <c r="D8" s="128"/>
      <c r="E8" s="132">
        <v>100000</v>
      </c>
      <c r="F8" s="132"/>
      <c r="G8" s="132"/>
      <c r="H8" s="132"/>
      <c r="I8" s="132"/>
      <c r="J8" s="81"/>
      <c r="L8" s="117"/>
      <c r="M8" s="117"/>
      <c r="N8" s="117"/>
      <c r="O8" s="117"/>
      <c r="P8" s="117"/>
      <c r="Q8" s="117"/>
      <c r="T8" t="s">
        <v>132</v>
      </c>
      <c r="U8" t="s">
        <v>103</v>
      </c>
      <c r="V8">
        <v>1500</v>
      </c>
      <c r="W8" t="s">
        <v>59</v>
      </c>
      <c r="X8" t="s">
        <v>51</v>
      </c>
      <c r="Z8" t="s">
        <v>117</v>
      </c>
      <c r="AA8" t="s">
        <v>148</v>
      </c>
      <c r="AB8" t="s">
        <v>33</v>
      </c>
      <c r="AC8" t="s">
        <v>104</v>
      </c>
      <c r="AD8" t="s">
        <v>105</v>
      </c>
      <c r="AE8" t="s">
        <v>121</v>
      </c>
      <c r="AF8" t="s">
        <v>153</v>
      </c>
    </row>
    <row r="9" spans="2:32" s="83" customFormat="1" ht="6.75" customHeight="1" x14ac:dyDescent="0.25">
      <c r="B9" s="82"/>
      <c r="J9" s="84"/>
      <c r="L9" s="136"/>
      <c r="M9" s="136"/>
      <c r="N9" s="136"/>
      <c r="O9" s="136"/>
      <c r="P9" s="136"/>
      <c r="Q9" s="136"/>
      <c r="T9" t="s">
        <v>132</v>
      </c>
      <c r="U9" t="s">
        <v>104</v>
      </c>
      <c r="V9">
        <v>1600</v>
      </c>
      <c r="X9" t="s">
        <v>55</v>
      </c>
      <c r="AA9" s="77"/>
      <c r="AB9" t="s">
        <v>32</v>
      </c>
      <c r="AD9" t="s">
        <v>106</v>
      </c>
      <c r="AE9" t="s">
        <v>122</v>
      </c>
      <c r="AF9" t="s">
        <v>154</v>
      </c>
    </row>
    <row r="10" spans="2:32" ht="15" customHeight="1" x14ac:dyDescent="0.25">
      <c r="B10" s="82"/>
      <c r="C10" s="133" t="s">
        <v>161</v>
      </c>
      <c r="D10" s="133"/>
      <c r="E10" s="133"/>
      <c r="F10" s="146"/>
      <c r="G10" s="134" t="s">
        <v>8</v>
      </c>
      <c r="H10" s="134"/>
      <c r="I10" s="134"/>
      <c r="J10" s="84"/>
      <c r="L10" s="123" t="s">
        <v>137</v>
      </c>
      <c r="M10" s="123"/>
      <c r="N10" s="135">
        <f>INDEX(V6:V59, MATCH(C3, U6:U59, 0))</f>
        <v>1500</v>
      </c>
      <c r="O10" s="135"/>
      <c r="P10" s="135"/>
      <c r="Q10" s="135"/>
      <c r="T10" t="s">
        <v>133</v>
      </c>
      <c r="U10" t="s">
        <v>36</v>
      </c>
      <c r="V10">
        <v>1800</v>
      </c>
      <c r="X10" t="s">
        <v>118</v>
      </c>
      <c r="AD10" t="s">
        <v>42</v>
      </c>
      <c r="AE10" t="s">
        <v>123</v>
      </c>
      <c r="AF10" t="s">
        <v>155</v>
      </c>
    </row>
    <row r="11" spans="2:32" s="72" customFormat="1" ht="15" customHeight="1" x14ac:dyDescent="0.25">
      <c r="B11" s="96" t="s">
        <v>93</v>
      </c>
      <c r="C11" s="62">
        <v>12</v>
      </c>
      <c r="D11" s="62">
        <v>18</v>
      </c>
      <c r="E11" s="62">
        <v>24</v>
      </c>
      <c r="F11" s="147"/>
      <c r="G11" s="62">
        <v>12</v>
      </c>
      <c r="H11" s="62">
        <v>18</v>
      </c>
      <c r="I11" s="62">
        <v>24</v>
      </c>
      <c r="J11" s="85"/>
      <c r="L11" s="123"/>
      <c r="M11" s="123"/>
      <c r="N11" s="135"/>
      <c r="O11" s="135"/>
      <c r="P11" s="135"/>
      <c r="Q11" s="135"/>
      <c r="R11" s="86"/>
      <c r="T11" t="s">
        <v>133</v>
      </c>
      <c r="U11" t="s">
        <v>105</v>
      </c>
      <c r="V11">
        <v>1950</v>
      </c>
      <c r="X11" t="s">
        <v>119</v>
      </c>
      <c r="AD11" t="s">
        <v>43</v>
      </c>
      <c r="AE11" t="s">
        <v>124</v>
      </c>
      <c r="AF11" t="s">
        <v>156</v>
      </c>
    </row>
    <row r="12" spans="2:32" ht="15" customHeight="1" x14ac:dyDescent="0.25">
      <c r="B12" s="97" t="s">
        <v>94</v>
      </c>
      <c r="C12" s="65">
        <f>((E8*C13)+E8)/C11</f>
        <v>9191.6666666666661</v>
      </c>
      <c r="D12" s="65">
        <f>((E8*D13)*1.5+E8)/D11</f>
        <v>6505.5555555555557</v>
      </c>
      <c r="E12" s="65">
        <f>((E8*E13)*2+E8)/E11</f>
        <v>5170.833333333333</v>
      </c>
      <c r="F12" s="147"/>
      <c r="G12" s="65">
        <f>((E8*G13)+E8)/G11</f>
        <v>8887.5</v>
      </c>
      <c r="H12" s="65">
        <f>((E8*H13)*1.5+E8)/H11</f>
        <v>6109.7222222222226</v>
      </c>
      <c r="I12" s="65">
        <f>((E8*I13)*2+E8)/I11</f>
        <v>4720.833333333333</v>
      </c>
      <c r="J12" s="84"/>
      <c r="L12" s="123"/>
      <c r="M12" s="123"/>
      <c r="N12" s="135"/>
      <c r="O12" s="135"/>
      <c r="P12" s="135"/>
      <c r="Q12" s="135"/>
      <c r="T12" t="s">
        <v>133</v>
      </c>
      <c r="U12" t="s">
        <v>106</v>
      </c>
      <c r="V12">
        <v>2000</v>
      </c>
      <c r="AD12" t="s">
        <v>44</v>
      </c>
      <c r="AE12" t="s">
        <v>147</v>
      </c>
    </row>
    <row r="13" spans="2:32" ht="15" customHeight="1" x14ac:dyDescent="0.25">
      <c r="B13" s="97" t="s">
        <v>5</v>
      </c>
      <c r="C13" s="112">
        <f>INDEX(V61:V113, MATCH(C3, U61:U113, 0))</f>
        <v>0.10299999999999999</v>
      </c>
      <c r="D13" s="112">
        <f>INDEX(W61:W113, MATCH(C3, U61:U113, 0))</f>
        <v>0.114</v>
      </c>
      <c r="E13" s="112">
        <f>INDEX(X61:X113, MATCH(C3, U61:U113, 0))</f>
        <v>0.1205</v>
      </c>
      <c r="F13" s="147"/>
      <c r="G13" s="64">
        <v>6.6500000000000004E-2</v>
      </c>
      <c r="H13" s="64">
        <v>6.6500000000000004E-2</v>
      </c>
      <c r="I13" s="64">
        <v>6.6500000000000004E-2</v>
      </c>
      <c r="J13" s="84"/>
      <c r="L13" s="123"/>
      <c r="M13" s="123"/>
      <c r="N13" s="135"/>
      <c r="O13" s="135"/>
      <c r="P13" s="135"/>
      <c r="Q13" s="135"/>
      <c r="T13" t="s">
        <v>133</v>
      </c>
      <c r="U13" t="s">
        <v>42</v>
      </c>
      <c r="V13">
        <v>2100</v>
      </c>
      <c r="AD13" t="s">
        <v>107</v>
      </c>
      <c r="AE13" t="s">
        <v>149</v>
      </c>
    </row>
    <row r="14" spans="2:32" ht="15" customHeight="1" x14ac:dyDescent="0.25">
      <c r="B14" s="97" t="s">
        <v>97</v>
      </c>
      <c r="C14" s="113">
        <f>INDEX(Y61:Y113, MATCH(C3, U61:U113, 0))</f>
        <v>3.5000000000000003E-2</v>
      </c>
      <c r="D14" s="113">
        <f>INDEX(Y61:Y113, MATCH(C3, U61:U113, 0))</f>
        <v>3.5000000000000003E-2</v>
      </c>
      <c r="E14" s="113">
        <f>INDEX(Y61:Y113, MATCH(C3, U61:U113, 0))</f>
        <v>3.5000000000000003E-2</v>
      </c>
      <c r="F14" s="147"/>
      <c r="G14" s="64">
        <v>0</v>
      </c>
      <c r="H14" s="64">
        <v>0</v>
      </c>
      <c r="I14" s="64">
        <v>0</v>
      </c>
      <c r="J14" s="84"/>
      <c r="T14" t="s">
        <v>133</v>
      </c>
      <c r="U14" t="s">
        <v>43</v>
      </c>
      <c r="V14">
        <v>2100</v>
      </c>
      <c r="AD14" t="s">
        <v>46</v>
      </c>
      <c r="AE14" t="s">
        <v>150</v>
      </c>
    </row>
    <row r="15" spans="2:32" ht="15" customHeight="1" x14ac:dyDescent="0.25">
      <c r="B15" s="97" t="s">
        <v>99</v>
      </c>
      <c r="C15" s="63">
        <f>E8*C14</f>
        <v>3500.0000000000005</v>
      </c>
      <c r="D15" s="63">
        <f>E8*D14</f>
        <v>3500.0000000000005</v>
      </c>
      <c r="E15" s="63">
        <f>E8*E14</f>
        <v>3500.0000000000005</v>
      </c>
      <c r="F15" s="147"/>
      <c r="G15" s="63">
        <v>0</v>
      </c>
      <c r="H15" s="63">
        <v>0</v>
      </c>
      <c r="I15" s="63">
        <v>0</v>
      </c>
      <c r="J15" s="84"/>
      <c r="L15" s="141" t="s">
        <v>141</v>
      </c>
      <c r="M15" s="141"/>
      <c r="N15" s="141"/>
      <c r="O15" s="141"/>
      <c r="P15" s="141"/>
      <c r="Q15" s="141"/>
      <c r="T15" t="s">
        <v>133</v>
      </c>
      <c r="U15" t="s">
        <v>44</v>
      </c>
      <c r="V15">
        <v>2200</v>
      </c>
      <c r="AD15" t="s">
        <v>48</v>
      </c>
      <c r="AE15" t="s">
        <v>151</v>
      </c>
    </row>
    <row r="16" spans="2:32" s="77" customFormat="1" ht="15" customHeight="1" x14ac:dyDescent="0.25">
      <c r="B16" s="97" t="s">
        <v>98</v>
      </c>
      <c r="C16" s="104">
        <f>IF(E8=0,0,400)</f>
        <v>400</v>
      </c>
      <c r="D16" s="104">
        <f>IF(E8=0,0,400)</f>
        <v>400</v>
      </c>
      <c r="E16" s="104">
        <f>IF(E8=0,0,400)</f>
        <v>400</v>
      </c>
      <c r="F16" s="147"/>
      <c r="G16" s="62">
        <v>0</v>
      </c>
      <c r="H16" s="62">
        <v>0</v>
      </c>
      <c r="I16" s="62">
        <v>0</v>
      </c>
      <c r="J16" s="81"/>
      <c r="L16" s="140" t="s">
        <v>142</v>
      </c>
      <c r="M16" s="140"/>
      <c r="N16" s="140"/>
      <c r="O16" s="140"/>
      <c r="P16" s="140"/>
      <c r="Q16" s="140"/>
      <c r="T16" t="s">
        <v>133</v>
      </c>
      <c r="U16" t="s">
        <v>107</v>
      </c>
      <c r="V16">
        <v>2300</v>
      </c>
      <c r="AD16" t="s">
        <v>108</v>
      </c>
    </row>
    <row r="17" spans="2:30" ht="12.75" customHeight="1" x14ac:dyDescent="0.25">
      <c r="B17" s="98" t="s">
        <v>96</v>
      </c>
      <c r="C17" s="102">
        <f>C16+C15</f>
        <v>3900.0000000000005</v>
      </c>
      <c r="D17" s="102">
        <f>D16+D15</f>
        <v>3900.0000000000005</v>
      </c>
      <c r="E17" s="102">
        <f>E16+E15</f>
        <v>3900.0000000000005</v>
      </c>
      <c r="F17" s="147"/>
      <c r="G17" s="66">
        <f>G16+G15</f>
        <v>0</v>
      </c>
      <c r="H17" s="66">
        <f>H16+H15</f>
        <v>0</v>
      </c>
      <c r="I17" s="66">
        <f>I16+I15</f>
        <v>0</v>
      </c>
      <c r="J17" s="84"/>
      <c r="L17" s="145" t="s">
        <v>162</v>
      </c>
      <c r="M17" s="145"/>
      <c r="N17" s="145"/>
      <c r="O17" s="145"/>
      <c r="P17" s="145"/>
      <c r="Q17" s="145"/>
      <c r="T17" t="s">
        <v>131</v>
      </c>
      <c r="U17" t="s">
        <v>31</v>
      </c>
      <c r="V17">
        <v>2350</v>
      </c>
      <c r="AD17" t="s">
        <v>109</v>
      </c>
    </row>
    <row r="18" spans="2:30" s="83" customFormat="1" ht="3.75" customHeight="1" x14ac:dyDescent="0.25">
      <c r="B18" s="99"/>
      <c r="C18" s="67"/>
      <c r="D18" s="67"/>
      <c r="E18" s="67"/>
      <c r="F18" s="147"/>
      <c r="G18" s="67"/>
      <c r="H18" s="67"/>
      <c r="I18" s="67"/>
      <c r="J18" s="84"/>
      <c r="L18" s="145"/>
      <c r="M18" s="145"/>
      <c r="N18" s="145"/>
      <c r="O18" s="145"/>
      <c r="P18" s="145"/>
      <c r="Q18" s="145"/>
      <c r="T18" t="s">
        <v>131</v>
      </c>
      <c r="U18" t="s">
        <v>33</v>
      </c>
      <c r="V18">
        <v>2000</v>
      </c>
      <c r="AD18" t="s">
        <v>110</v>
      </c>
    </row>
    <row r="19" spans="2:30" ht="15" x14ac:dyDescent="0.25">
      <c r="B19" s="100" t="s">
        <v>95</v>
      </c>
      <c r="C19" s="104">
        <f>(C12*C11)+C17</f>
        <v>114200</v>
      </c>
      <c r="D19" s="104">
        <f>(D12*D11)+D17</f>
        <v>121000</v>
      </c>
      <c r="E19" s="104">
        <f>(E12*E11)+E17</f>
        <v>128000</v>
      </c>
      <c r="F19" s="148"/>
      <c r="G19" s="62">
        <f>(G12*G11)+G17</f>
        <v>106650</v>
      </c>
      <c r="H19" s="105">
        <f>(H12*H11)+H17</f>
        <v>109975</v>
      </c>
      <c r="I19" s="62">
        <f>(I12*I11)+I17</f>
        <v>113300</v>
      </c>
      <c r="J19" s="84"/>
      <c r="L19" s="145"/>
      <c r="M19" s="145"/>
      <c r="N19" s="145"/>
      <c r="O19" s="145"/>
      <c r="P19" s="145"/>
      <c r="Q19" s="145"/>
      <c r="T19" t="s">
        <v>131</v>
      </c>
      <c r="U19" t="s">
        <v>32</v>
      </c>
      <c r="V19">
        <v>1900</v>
      </c>
      <c r="AD19" t="s">
        <v>111</v>
      </c>
    </row>
    <row r="20" spans="2:30" ht="5.25" customHeight="1" x14ac:dyDescent="0.25">
      <c r="J20" s="84"/>
      <c r="L20" s="145" t="s">
        <v>143</v>
      </c>
      <c r="M20" s="145"/>
      <c r="N20" s="145"/>
      <c r="O20" s="145"/>
      <c r="P20" s="145"/>
      <c r="Q20" s="92"/>
      <c r="T20" t="s">
        <v>133</v>
      </c>
      <c r="U20" t="s">
        <v>46</v>
      </c>
      <c r="V20">
        <v>2400</v>
      </c>
      <c r="AD20" t="s">
        <v>112</v>
      </c>
    </row>
    <row r="21" spans="2:30" ht="17.25" customHeight="1" x14ac:dyDescent="0.25">
      <c r="B21" s="101" t="s">
        <v>140</v>
      </c>
      <c r="C21" s="103" t="s">
        <v>100</v>
      </c>
      <c r="D21" s="103" t="s">
        <v>100</v>
      </c>
      <c r="E21" s="103" t="s">
        <v>100</v>
      </c>
      <c r="F21" s="114"/>
      <c r="G21" s="137">
        <f>INDEX(V6:V59, MATCH(C3, U6:U59, 0))</f>
        <v>1500</v>
      </c>
      <c r="H21" s="138"/>
      <c r="I21" s="139"/>
      <c r="J21" s="84"/>
      <c r="L21" s="145"/>
      <c r="M21" s="145"/>
      <c r="N21" s="145"/>
      <c r="O21" s="145"/>
      <c r="P21" s="145"/>
      <c r="Q21" s="70"/>
      <c r="T21" t="s">
        <v>133</v>
      </c>
      <c r="U21" t="s">
        <v>48</v>
      </c>
      <c r="V21">
        <v>2450</v>
      </c>
      <c r="AD21" t="s">
        <v>113</v>
      </c>
    </row>
    <row r="22" spans="2:30" ht="15.75" x14ac:dyDescent="0.25">
      <c r="B22" s="101" t="s">
        <v>139</v>
      </c>
      <c r="C22" s="103" t="s">
        <v>100</v>
      </c>
      <c r="D22" s="103" t="s">
        <v>100</v>
      </c>
      <c r="E22" s="103" t="s">
        <v>100</v>
      </c>
      <c r="F22" s="115"/>
      <c r="G22" s="68">
        <f>C19-G19</f>
        <v>7550</v>
      </c>
      <c r="H22" s="68">
        <f>D19-H19</f>
        <v>11025</v>
      </c>
      <c r="I22" s="68">
        <f>E19-I19</f>
        <v>14700</v>
      </c>
      <c r="J22" s="84"/>
      <c r="L22" s="145"/>
      <c r="M22" s="145"/>
      <c r="N22" s="145"/>
      <c r="O22" s="145"/>
      <c r="P22" s="145"/>
      <c r="T22" t="s">
        <v>133</v>
      </c>
      <c r="U22" t="s">
        <v>108</v>
      </c>
      <c r="V22">
        <v>2550</v>
      </c>
      <c r="AD22" t="s">
        <v>114</v>
      </c>
    </row>
    <row r="23" spans="2:30" s="77" customFormat="1" ht="15.75" x14ac:dyDescent="0.25">
      <c r="B23" s="101" t="s">
        <v>138</v>
      </c>
      <c r="C23" s="103" t="s">
        <v>100</v>
      </c>
      <c r="D23" s="103" t="s">
        <v>100</v>
      </c>
      <c r="E23" s="103" t="s">
        <v>100</v>
      </c>
      <c r="F23" s="116"/>
      <c r="G23" s="68">
        <f>G22+G21</f>
        <v>9050</v>
      </c>
      <c r="H23" s="68">
        <f>H22+G21</f>
        <v>12525</v>
      </c>
      <c r="I23" s="68">
        <f>I22+G21</f>
        <v>16200</v>
      </c>
      <c r="J23" s="81"/>
      <c r="M23" s="87"/>
      <c r="N23" s="87"/>
      <c r="O23" s="87"/>
      <c r="P23" s="87"/>
      <c r="Q23" s="87"/>
      <c r="R23" s="87"/>
      <c r="T23" t="s">
        <v>133</v>
      </c>
      <c r="U23" t="s">
        <v>109</v>
      </c>
      <c r="V23">
        <v>2600</v>
      </c>
      <c r="AD23" t="s">
        <v>56</v>
      </c>
    </row>
    <row r="24" spans="2:30" s="77" customFormat="1" ht="15.75" thickBot="1" x14ac:dyDescent="0.3">
      <c r="B24" s="88"/>
      <c r="C24" s="89"/>
      <c r="D24" s="89"/>
      <c r="E24" s="90"/>
      <c r="F24" s="90"/>
      <c r="G24" s="90"/>
      <c r="H24" s="90"/>
      <c r="I24" s="89"/>
      <c r="J24" s="91"/>
      <c r="M24" s="87"/>
      <c r="N24" s="87"/>
      <c r="O24" s="87"/>
      <c r="P24" s="87"/>
      <c r="Q24" s="87"/>
      <c r="R24" s="87"/>
      <c r="T24" t="s">
        <v>133</v>
      </c>
      <c r="U24" t="s">
        <v>110</v>
      </c>
      <c r="V24">
        <v>2650</v>
      </c>
      <c r="AD24" t="s">
        <v>60</v>
      </c>
    </row>
    <row r="25" spans="2:30" ht="15" x14ac:dyDescent="0.25">
      <c r="T25" t="s">
        <v>133</v>
      </c>
      <c r="U25" t="s">
        <v>111</v>
      </c>
      <c r="V25">
        <v>2850</v>
      </c>
      <c r="AD25" t="s">
        <v>61</v>
      </c>
    </row>
    <row r="26" spans="2:30" ht="15" x14ac:dyDescent="0.25">
      <c r="T26" t="s">
        <v>133</v>
      </c>
      <c r="U26" t="s">
        <v>112</v>
      </c>
      <c r="V26">
        <v>3000</v>
      </c>
      <c r="AD26" t="s">
        <v>63</v>
      </c>
    </row>
    <row r="27" spans="2:30" ht="11.25" customHeight="1" x14ac:dyDescent="0.25">
      <c r="H27" s="111"/>
      <c r="I27" s="111"/>
      <c r="J27" s="111"/>
      <c r="K27" s="111"/>
      <c r="T27" t="s">
        <v>133</v>
      </c>
      <c r="U27" t="s">
        <v>113</v>
      </c>
      <c r="V27">
        <v>2700</v>
      </c>
      <c r="AD27" t="s">
        <v>115</v>
      </c>
    </row>
    <row r="28" spans="2:30" ht="11.25" customHeight="1" x14ac:dyDescent="0.25">
      <c r="H28" s="111"/>
      <c r="I28" s="111"/>
      <c r="J28" s="111"/>
      <c r="K28" s="111"/>
      <c r="T28" t="s">
        <v>133</v>
      </c>
      <c r="U28" t="s">
        <v>114</v>
      </c>
      <c r="V28">
        <v>2900</v>
      </c>
      <c r="AD28" t="s">
        <v>65</v>
      </c>
    </row>
    <row r="29" spans="2:30" ht="11.25" customHeight="1" x14ac:dyDescent="0.25">
      <c r="E29" s="70"/>
      <c r="G29" s="70"/>
      <c r="H29" s="111"/>
      <c r="I29" s="111"/>
      <c r="J29" s="111"/>
      <c r="K29" s="111"/>
      <c r="T29" t="s">
        <v>133</v>
      </c>
      <c r="U29" t="s">
        <v>56</v>
      </c>
      <c r="V29">
        <v>2750</v>
      </c>
    </row>
    <row r="30" spans="2:30" ht="11.25" customHeight="1" x14ac:dyDescent="0.25">
      <c r="E30" s="70"/>
      <c r="G30" s="70"/>
      <c r="H30" s="111"/>
      <c r="I30" s="111"/>
      <c r="J30" s="111"/>
      <c r="K30" s="111"/>
      <c r="T30" t="s">
        <v>133</v>
      </c>
      <c r="U30" t="s">
        <v>60</v>
      </c>
      <c r="V30">
        <v>2900</v>
      </c>
    </row>
    <row r="31" spans="2:30" ht="15" x14ac:dyDescent="0.25">
      <c r="E31" s="70"/>
      <c r="F31" s="70"/>
      <c r="G31" s="70"/>
      <c r="H31" s="70"/>
      <c r="T31" t="s">
        <v>133</v>
      </c>
      <c r="U31" t="s">
        <v>61</v>
      </c>
      <c r="V31">
        <v>2950</v>
      </c>
    </row>
    <row r="32" spans="2:30" ht="15" x14ac:dyDescent="0.25">
      <c r="E32" s="70"/>
      <c r="F32" s="70"/>
      <c r="G32" s="70"/>
      <c r="H32" s="70"/>
      <c r="T32" t="s">
        <v>133</v>
      </c>
      <c r="U32" t="s">
        <v>63</v>
      </c>
      <c r="V32">
        <v>3100</v>
      </c>
    </row>
    <row r="33" spans="5:22" ht="15" x14ac:dyDescent="0.25">
      <c r="E33" s="70"/>
      <c r="F33" s="70"/>
      <c r="G33" s="70"/>
      <c r="H33" s="70"/>
      <c r="T33" t="s">
        <v>133</v>
      </c>
      <c r="U33" t="s">
        <v>115</v>
      </c>
      <c r="V33">
        <v>4050</v>
      </c>
    </row>
    <row r="34" spans="5:22" ht="15" x14ac:dyDescent="0.25">
      <c r="E34" s="70"/>
      <c r="F34" s="70"/>
      <c r="G34" s="70"/>
      <c r="H34" s="70"/>
      <c r="T34" t="s">
        <v>133</v>
      </c>
      <c r="U34" t="s">
        <v>65</v>
      </c>
      <c r="V34">
        <v>3850</v>
      </c>
    </row>
    <row r="35" spans="5:22" ht="15" x14ac:dyDescent="0.25">
      <c r="E35" s="70"/>
      <c r="F35" s="70"/>
      <c r="G35" s="70"/>
      <c r="H35" s="70"/>
      <c r="T35" t="s">
        <v>128</v>
      </c>
      <c r="U35" t="s">
        <v>50</v>
      </c>
      <c r="V35">
        <v>2500</v>
      </c>
    </row>
    <row r="36" spans="5:22" ht="15" x14ac:dyDescent="0.25">
      <c r="E36" s="70"/>
      <c r="F36" s="70"/>
      <c r="G36" s="70"/>
      <c r="H36" s="70"/>
      <c r="T36" t="s">
        <v>128</v>
      </c>
      <c r="U36" t="s">
        <v>59</v>
      </c>
      <c r="V36">
        <v>3100</v>
      </c>
    </row>
    <row r="37" spans="5:22" ht="15" x14ac:dyDescent="0.25">
      <c r="E37" s="70"/>
      <c r="F37" s="70"/>
      <c r="G37" s="70"/>
      <c r="H37" s="70"/>
      <c r="T37" t="s">
        <v>130</v>
      </c>
      <c r="U37" t="s">
        <v>116</v>
      </c>
      <c r="V37">
        <v>5000</v>
      </c>
    </row>
    <row r="38" spans="5:22" ht="15" x14ac:dyDescent="0.25">
      <c r="E38" s="70"/>
      <c r="F38" s="70"/>
      <c r="G38" s="70"/>
      <c r="H38" s="70"/>
      <c r="T38" t="s">
        <v>130</v>
      </c>
      <c r="U38" t="s">
        <v>117</v>
      </c>
      <c r="V38">
        <v>4050</v>
      </c>
    </row>
    <row r="39" spans="5:22" ht="15" x14ac:dyDescent="0.25">
      <c r="E39" s="70"/>
      <c r="F39" s="70"/>
      <c r="G39" s="70"/>
      <c r="H39" s="70"/>
      <c r="T39" t="s">
        <v>127</v>
      </c>
      <c r="U39" t="s">
        <v>39</v>
      </c>
      <c r="V39">
        <v>1950</v>
      </c>
    </row>
    <row r="40" spans="5:22" ht="15" x14ac:dyDescent="0.25">
      <c r="E40" s="70"/>
      <c r="F40" s="70"/>
      <c r="G40" s="70"/>
      <c r="H40" s="70"/>
      <c r="T40" t="s">
        <v>127</v>
      </c>
      <c r="U40" t="s">
        <v>51</v>
      </c>
      <c r="V40">
        <v>2350</v>
      </c>
    </row>
    <row r="41" spans="5:22" ht="15" x14ac:dyDescent="0.25">
      <c r="E41" s="70"/>
      <c r="F41" s="70"/>
      <c r="G41" s="70"/>
      <c r="H41" s="70"/>
      <c r="T41" t="s">
        <v>127</v>
      </c>
      <c r="U41" t="s">
        <v>55</v>
      </c>
      <c r="V41">
        <v>2550</v>
      </c>
    </row>
    <row r="42" spans="5:22" ht="15" x14ac:dyDescent="0.25">
      <c r="E42" s="70"/>
      <c r="F42" s="70"/>
      <c r="G42" s="70"/>
      <c r="H42" s="70"/>
      <c r="T42" t="s">
        <v>127</v>
      </c>
      <c r="U42" t="s">
        <v>118</v>
      </c>
      <c r="V42">
        <v>1900</v>
      </c>
    </row>
    <row r="43" spans="5:22" ht="15" x14ac:dyDescent="0.25">
      <c r="E43" s="70"/>
      <c r="F43" s="70"/>
      <c r="G43" s="70"/>
      <c r="H43" s="70"/>
      <c r="T43" t="s">
        <v>127</v>
      </c>
      <c r="U43" t="s">
        <v>119</v>
      </c>
      <c r="V43">
        <v>2100</v>
      </c>
    </row>
    <row r="44" spans="5:22" ht="15" x14ac:dyDescent="0.25">
      <c r="E44" s="70"/>
      <c r="F44" s="70"/>
      <c r="G44" s="70"/>
      <c r="H44" s="70"/>
      <c r="T44" t="s">
        <v>134</v>
      </c>
      <c r="U44" t="s">
        <v>120</v>
      </c>
      <c r="V44">
        <v>4150</v>
      </c>
    </row>
    <row r="45" spans="5:22" ht="15" x14ac:dyDescent="0.25">
      <c r="E45" s="70"/>
      <c r="F45" s="70"/>
      <c r="G45" s="70"/>
      <c r="H45" s="70"/>
      <c r="T45" t="s">
        <v>134</v>
      </c>
      <c r="U45" t="s">
        <v>121</v>
      </c>
      <c r="V45">
        <v>4550</v>
      </c>
    </row>
    <row r="46" spans="5:22" ht="15" x14ac:dyDescent="0.25">
      <c r="E46" s="70"/>
      <c r="F46" s="70"/>
      <c r="G46" s="70"/>
      <c r="H46" s="70"/>
      <c r="T46" t="s">
        <v>134</v>
      </c>
      <c r="U46" t="s">
        <v>122</v>
      </c>
      <c r="V46">
        <v>6000</v>
      </c>
    </row>
    <row r="47" spans="5:22" ht="15" x14ac:dyDescent="0.25">
      <c r="T47" t="s">
        <v>134</v>
      </c>
      <c r="U47" t="s">
        <v>123</v>
      </c>
      <c r="V47">
        <v>4750</v>
      </c>
    </row>
    <row r="48" spans="5:22" ht="15" x14ac:dyDescent="0.25">
      <c r="T48" t="s">
        <v>134</v>
      </c>
      <c r="U48" t="s">
        <v>124</v>
      </c>
      <c r="V48">
        <v>6700</v>
      </c>
    </row>
    <row r="49" spans="20:25" ht="15" x14ac:dyDescent="0.25">
      <c r="T49" t="s">
        <v>145</v>
      </c>
      <c r="U49" t="s">
        <v>146</v>
      </c>
      <c r="V49">
        <v>4700</v>
      </c>
    </row>
    <row r="50" spans="20:25" ht="15" x14ac:dyDescent="0.25">
      <c r="T50" t="s">
        <v>134</v>
      </c>
      <c r="U50" t="s">
        <v>147</v>
      </c>
      <c r="V50">
        <v>6750</v>
      </c>
      <c r="W50" s="106"/>
      <c r="X50" s="106"/>
    </row>
    <row r="51" spans="20:25" ht="15" x14ac:dyDescent="0.25">
      <c r="T51" t="s">
        <v>145</v>
      </c>
      <c r="U51" t="s">
        <v>148</v>
      </c>
      <c r="V51">
        <v>6050</v>
      </c>
      <c r="W51" s="106"/>
      <c r="X51" s="106"/>
    </row>
    <row r="52" spans="20:25" ht="15" x14ac:dyDescent="0.25">
      <c r="T52" t="s">
        <v>134</v>
      </c>
      <c r="U52" t="s">
        <v>149</v>
      </c>
      <c r="V52">
        <v>5550</v>
      </c>
      <c r="W52" s="106"/>
      <c r="X52" s="106"/>
    </row>
    <row r="53" spans="20:25" ht="15" x14ac:dyDescent="0.25">
      <c r="T53" t="s">
        <v>134</v>
      </c>
      <c r="U53" t="s">
        <v>150</v>
      </c>
      <c r="V53">
        <v>5500</v>
      </c>
      <c r="W53" s="106"/>
      <c r="X53" s="106"/>
    </row>
    <row r="54" spans="20:25" ht="15" x14ac:dyDescent="0.25">
      <c r="T54" t="s">
        <v>134</v>
      </c>
      <c r="U54" t="s">
        <v>151</v>
      </c>
      <c r="V54">
        <v>7550</v>
      </c>
      <c r="W54" s="106"/>
      <c r="X54" s="106"/>
    </row>
    <row r="55" spans="20:25" ht="15" x14ac:dyDescent="0.25">
      <c r="T55" t="s">
        <v>73</v>
      </c>
      <c r="U55" t="s">
        <v>152</v>
      </c>
      <c r="V55">
        <v>6550</v>
      </c>
    </row>
    <row r="56" spans="20:25" ht="15" x14ac:dyDescent="0.25">
      <c r="T56" t="s">
        <v>73</v>
      </c>
      <c r="U56" t="s">
        <v>153</v>
      </c>
      <c r="V56">
        <v>5400</v>
      </c>
      <c r="W56" s="107"/>
      <c r="X56" s="107"/>
    </row>
    <row r="57" spans="20:25" ht="15" x14ac:dyDescent="0.25">
      <c r="T57" t="s">
        <v>73</v>
      </c>
      <c r="U57" t="s">
        <v>154</v>
      </c>
      <c r="V57">
        <v>5300</v>
      </c>
      <c r="W57" s="107"/>
      <c r="X57" s="107"/>
    </row>
    <row r="58" spans="20:25" ht="15" x14ac:dyDescent="0.25">
      <c r="T58" t="s">
        <v>73</v>
      </c>
      <c r="U58" t="s">
        <v>155</v>
      </c>
      <c r="V58">
        <v>7150</v>
      </c>
      <c r="W58" s="107"/>
      <c r="X58" s="107"/>
    </row>
    <row r="59" spans="20:25" ht="15" x14ac:dyDescent="0.25">
      <c r="T59" t="s">
        <v>73</v>
      </c>
      <c r="U59" t="s">
        <v>156</v>
      </c>
      <c r="V59">
        <v>7850</v>
      </c>
      <c r="W59" s="107"/>
      <c r="X59" s="107"/>
    </row>
    <row r="60" spans="20:25" x14ac:dyDescent="0.2">
      <c r="V60" s="72" t="s">
        <v>157</v>
      </c>
      <c r="W60" s="109" t="s">
        <v>158</v>
      </c>
      <c r="X60" s="109" t="s">
        <v>159</v>
      </c>
      <c r="Y60" s="70" t="s">
        <v>160</v>
      </c>
    </row>
    <row r="61" spans="20:25" ht="15" x14ac:dyDescent="0.25">
      <c r="T61" t="s">
        <v>144</v>
      </c>
      <c r="U61" t="s">
        <v>102</v>
      </c>
      <c r="V61" s="108">
        <v>0.10299999999999999</v>
      </c>
      <c r="W61" s="110">
        <v>0.114</v>
      </c>
      <c r="X61" s="110">
        <v>0.1205</v>
      </c>
      <c r="Y61" s="110">
        <v>3.5000000000000003E-2</v>
      </c>
    </row>
    <row r="62" spans="20:25" ht="15" x14ac:dyDescent="0.25">
      <c r="T62" t="s">
        <v>132</v>
      </c>
      <c r="U62" t="s">
        <v>103</v>
      </c>
      <c r="V62" s="108">
        <v>0.10299999999999999</v>
      </c>
      <c r="W62" s="110">
        <v>0.114</v>
      </c>
      <c r="X62" s="110">
        <v>0.1205</v>
      </c>
      <c r="Y62" s="110">
        <v>3.5000000000000003E-2</v>
      </c>
    </row>
    <row r="63" spans="20:25" ht="15" x14ac:dyDescent="0.25">
      <c r="T63" t="s">
        <v>132</v>
      </c>
      <c r="U63" t="s">
        <v>104</v>
      </c>
      <c r="V63" s="108">
        <v>0.10299999999999999</v>
      </c>
      <c r="W63" s="110">
        <v>0.114</v>
      </c>
      <c r="X63" s="110">
        <v>0.1205</v>
      </c>
      <c r="Y63" s="110">
        <v>3.5000000000000003E-2</v>
      </c>
    </row>
    <row r="64" spans="20:25" ht="15" x14ac:dyDescent="0.25">
      <c r="T64" t="s">
        <v>133</v>
      </c>
      <c r="U64" t="s">
        <v>36</v>
      </c>
      <c r="V64" s="108">
        <v>0.10299999999999999</v>
      </c>
      <c r="W64" s="110">
        <v>0.114</v>
      </c>
      <c r="X64" s="110">
        <v>0.1205</v>
      </c>
      <c r="Y64" s="110">
        <v>3.5000000000000003E-2</v>
      </c>
    </row>
    <row r="65" spans="20:25" ht="15" x14ac:dyDescent="0.25">
      <c r="T65" t="s">
        <v>133</v>
      </c>
      <c r="U65" t="s">
        <v>105</v>
      </c>
      <c r="V65" s="108">
        <v>0.10299999999999999</v>
      </c>
      <c r="W65" s="110">
        <v>0.114</v>
      </c>
      <c r="X65" s="110">
        <v>0.1205</v>
      </c>
      <c r="Y65" s="110">
        <v>3.5000000000000003E-2</v>
      </c>
    </row>
    <row r="66" spans="20:25" ht="15" x14ac:dyDescent="0.25">
      <c r="T66" t="s">
        <v>133</v>
      </c>
      <c r="U66" t="s">
        <v>106</v>
      </c>
      <c r="V66" s="108">
        <v>0.10299999999999999</v>
      </c>
      <c r="W66" s="110">
        <v>0.114</v>
      </c>
      <c r="X66" s="110">
        <v>0.1205</v>
      </c>
      <c r="Y66" s="110">
        <v>3.5000000000000003E-2</v>
      </c>
    </row>
    <row r="67" spans="20:25" ht="15" x14ac:dyDescent="0.25">
      <c r="T67" t="s">
        <v>133</v>
      </c>
      <c r="U67" t="s">
        <v>42</v>
      </c>
      <c r="V67" s="108">
        <v>0.10299999999999999</v>
      </c>
      <c r="W67" s="110">
        <v>0.114</v>
      </c>
      <c r="X67" s="110">
        <v>0.1205</v>
      </c>
      <c r="Y67" s="110">
        <v>3.5000000000000003E-2</v>
      </c>
    </row>
    <row r="68" spans="20:25" ht="15" x14ac:dyDescent="0.25">
      <c r="T68" t="s">
        <v>133</v>
      </c>
      <c r="U68" t="s">
        <v>43</v>
      </c>
      <c r="V68" s="108">
        <v>0.10299999999999999</v>
      </c>
      <c r="W68" s="110">
        <v>0.114</v>
      </c>
      <c r="X68" s="110">
        <v>0.1205</v>
      </c>
      <c r="Y68" s="110">
        <v>3.5000000000000003E-2</v>
      </c>
    </row>
    <row r="69" spans="20:25" ht="15" x14ac:dyDescent="0.25">
      <c r="T69" t="s">
        <v>133</v>
      </c>
      <c r="U69" t="s">
        <v>44</v>
      </c>
      <c r="V69" s="108">
        <v>0.10299999999999999</v>
      </c>
      <c r="W69" s="110">
        <v>0.114</v>
      </c>
      <c r="X69" s="110">
        <v>0.1205</v>
      </c>
      <c r="Y69" s="110">
        <v>3.5000000000000003E-2</v>
      </c>
    </row>
    <row r="70" spans="20:25" ht="15" x14ac:dyDescent="0.25">
      <c r="T70" t="s">
        <v>133</v>
      </c>
      <c r="U70" t="s">
        <v>107</v>
      </c>
      <c r="V70" s="108">
        <v>0.10299999999999999</v>
      </c>
      <c r="W70" s="110">
        <v>0.114</v>
      </c>
      <c r="X70" s="110">
        <v>0.1205</v>
      </c>
      <c r="Y70" s="110">
        <v>3.5000000000000003E-2</v>
      </c>
    </row>
    <row r="71" spans="20:25" ht="15" x14ac:dyDescent="0.25">
      <c r="T71" t="s">
        <v>131</v>
      </c>
      <c r="U71" t="s">
        <v>31</v>
      </c>
      <c r="V71" s="108">
        <v>0.10299999999999999</v>
      </c>
      <c r="W71" s="110">
        <v>0.114</v>
      </c>
      <c r="X71" s="110">
        <v>0.1205</v>
      </c>
      <c r="Y71" s="110">
        <v>3.5000000000000003E-2</v>
      </c>
    </row>
    <row r="72" spans="20:25" ht="15" x14ac:dyDescent="0.25">
      <c r="T72" t="s">
        <v>131</v>
      </c>
      <c r="U72" t="s">
        <v>33</v>
      </c>
      <c r="V72" s="108">
        <v>0.10299999999999999</v>
      </c>
      <c r="W72" s="110">
        <v>0.114</v>
      </c>
      <c r="X72" s="110">
        <v>0.1205</v>
      </c>
      <c r="Y72" s="110">
        <v>3.5000000000000003E-2</v>
      </c>
    </row>
    <row r="73" spans="20:25" ht="15" x14ac:dyDescent="0.25">
      <c r="T73" t="s">
        <v>131</v>
      </c>
      <c r="U73" t="s">
        <v>32</v>
      </c>
      <c r="V73" s="108">
        <v>0.10299999999999999</v>
      </c>
      <c r="W73" s="110">
        <v>0.114</v>
      </c>
      <c r="X73" s="110">
        <v>0.1205</v>
      </c>
      <c r="Y73" s="110">
        <v>3.5000000000000003E-2</v>
      </c>
    </row>
    <row r="74" spans="20:25" ht="15" x14ac:dyDescent="0.25">
      <c r="T74" t="s">
        <v>133</v>
      </c>
      <c r="U74" t="s">
        <v>46</v>
      </c>
      <c r="V74" s="108">
        <v>0.10299999999999999</v>
      </c>
      <c r="W74" s="110">
        <v>0.114</v>
      </c>
      <c r="X74" s="110">
        <v>0.1205</v>
      </c>
      <c r="Y74" s="110">
        <v>3.5000000000000003E-2</v>
      </c>
    </row>
    <row r="75" spans="20:25" ht="15" x14ac:dyDescent="0.25">
      <c r="T75" t="s">
        <v>133</v>
      </c>
      <c r="U75" t="s">
        <v>48</v>
      </c>
      <c r="V75" s="108">
        <v>0.10299999999999999</v>
      </c>
      <c r="W75" s="110">
        <v>0.114</v>
      </c>
      <c r="X75" s="110">
        <v>0.1205</v>
      </c>
      <c r="Y75" s="110">
        <v>3.5000000000000003E-2</v>
      </c>
    </row>
    <row r="76" spans="20:25" ht="15" x14ac:dyDescent="0.25">
      <c r="T76" t="s">
        <v>133</v>
      </c>
      <c r="U76" t="s">
        <v>108</v>
      </c>
      <c r="V76" s="108">
        <v>0.10299999999999999</v>
      </c>
      <c r="W76" s="110">
        <v>0.114</v>
      </c>
      <c r="X76" s="110">
        <v>0.1205</v>
      </c>
      <c r="Y76" s="110">
        <v>3.5000000000000003E-2</v>
      </c>
    </row>
    <row r="77" spans="20:25" ht="15" x14ac:dyDescent="0.25">
      <c r="T77" t="s">
        <v>133</v>
      </c>
      <c r="U77" t="s">
        <v>109</v>
      </c>
      <c r="V77" s="108">
        <v>0.10299999999999999</v>
      </c>
      <c r="W77" s="110">
        <v>0.114</v>
      </c>
      <c r="X77" s="110">
        <v>0.1205</v>
      </c>
      <c r="Y77" s="110">
        <v>3.5000000000000003E-2</v>
      </c>
    </row>
    <row r="78" spans="20:25" ht="15" x14ac:dyDescent="0.25">
      <c r="T78" t="s">
        <v>133</v>
      </c>
      <c r="U78" t="s">
        <v>110</v>
      </c>
      <c r="V78" s="108">
        <v>0.10299999999999999</v>
      </c>
      <c r="W78" s="110">
        <v>0.114</v>
      </c>
      <c r="X78" s="110">
        <v>0.1205</v>
      </c>
      <c r="Y78" s="110">
        <v>3.5000000000000003E-2</v>
      </c>
    </row>
    <row r="79" spans="20:25" ht="15" x14ac:dyDescent="0.25">
      <c r="T79" t="s">
        <v>133</v>
      </c>
      <c r="U79" t="s">
        <v>111</v>
      </c>
      <c r="V79" s="108">
        <v>0.10299999999999999</v>
      </c>
      <c r="W79" s="110">
        <v>0.114</v>
      </c>
      <c r="X79" s="110">
        <v>0.1205</v>
      </c>
      <c r="Y79" s="110">
        <v>3.5000000000000003E-2</v>
      </c>
    </row>
    <row r="80" spans="20:25" ht="15" x14ac:dyDescent="0.25">
      <c r="T80" t="s">
        <v>133</v>
      </c>
      <c r="U80" t="s">
        <v>112</v>
      </c>
      <c r="V80" s="108">
        <v>8.1500000000000003E-2</v>
      </c>
      <c r="W80" s="110">
        <v>9.0499999999999997E-2</v>
      </c>
      <c r="X80" s="110">
        <v>9.5500000000000002E-2</v>
      </c>
      <c r="Y80" s="110">
        <v>0.03</v>
      </c>
    </row>
    <row r="81" spans="20:25" ht="15" x14ac:dyDescent="0.25">
      <c r="T81" t="s">
        <v>133</v>
      </c>
      <c r="U81" t="s">
        <v>113</v>
      </c>
      <c r="V81" s="108">
        <v>0.10299999999999999</v>
      </c>
      <c r="W81" s="110">
        <v>0.114</v>
      </c>
      <c r="X81" s="110">
        <v>0.1205</v>
      </c>
      <c r="Y81" s="110">
        <v>3.5000000000000003E-2</v>
      </c>
    </row>
    <row r="82" spans="20:25" ht="15" x14ac:dyDescent="0.25">
      <c r="T82" t="s">
        <v>133</v>
      </c>
      <c r="U82" t="s">
        <v>114</v>
      </c>
      <c r="V82" s="108">
        <v>0.10299999999999999</v>
      </c>
      <c r="W82" s="110">
        <v>0.114</v>
      </c>
      <c r="X82" s="110">
        <v>0.1205</v>
      </c>
      <c r="Y82" s="110">
        <v>3.5000000000000003E-2</v>
      </c>
    </row>
    <row r="83" spans="20:25" ht="15" x14ac:dyDescent="0.25">
      <c r="T83" t="s">
        <v>133</v>
      </c>
      <c r="U83" t="s">
        <v>56</v>
      </c>
      <c r="V83" s="108">
        <v>0.10299999999999999</v>
      </c>
      <c r="W83" s="110">
        <v>0.114</v>
      </c>
      <c r="X83" s="110">
        <v>0.1205</v>
      </c>
      <c r="Y83" s="110">
        <v>3.5000000000000003E-2</v>
      </c>
    </row>
    <row r="84" spans="20:25" ht="15" x14ac:dyDescent="0.25">
      <c r="T84" t="s">
        <v>133</v>
      </c>
      <c r="U84" t="s">
        <v>60</v>
      </c>
      <c r="V84" s="108">
        <v>0.10299999999999999</v>
      </c>
      <c r="W84" s="110">
        <v>0.114</v>
      </c>
      <c r="X84" s="110">
        <v>0.1205</v>
      </c>
      <c r="Y84" s="110">
        <v>3.5000000000000003E-2</v>
      </c>
    </row>
    <row r="85" spans="20:25" ht="15" x14ac:dyDescent="0.25">
      <c r="T85" t="s">
        <v>133</v>
      </c>
      <c r="U85" t="s">
        <v>61</v>
      </c>
      <c r="V85" s="108">
        <v>8.1500000000000003E-2</v>
      </c>
      <c r="W85" s="110">
        <v>9.0499999999999997E-2</v>
      </c>
      <c r="X85" s="110">
        <v>9.5500000000000002E-2</v>
      </c>
      <c r="Y85" s="110">
        <v>0.03</v>
      </c>
    </row>
    <row r="86" spans="20:25" ht="15" x14ac:dyDescent="0.25">
      <c r="T86" t="s">
        <v>133</v>
      </c>
      <c r="U86" t="s">
        <v>63</v>
      </c>
      <c r="V86" s="108">
        <v>8.1500000000000003E-2</v>
      </c>
      <c r="W86" s="110">
        <v>9.0499999999999997E-2</v>
      </c>
      <c r="X86" s="110">
        <v>9.5500000000000002E-2</v>
      </c>
      <c r="Y86" s="110">
        <v>0.03</v>
      </c>
    </row>
    <row r="87" spans="20:25" ht="15" x14ac:dyDescent="0.25">
      <c r="T87" t="s">
        <v>133</v>
      </c>
      <c r="U87" t="s">
        <v>115</v>
      </c>
      <c r="V87" s="108">
        <v>8.1500000000000003E-2</v>
      </c>
      <c r="W87" s="110">
        <v>9.0499999999999997E-2</v>
      </c>
      <c r="X87" s="110">
        <v>9.5500000000000002E-2</v>
      </c>
      <c r="Y87" s="110">
        <v>0.03</v>
      </c>
    </row>
    <row r="88" spans="20:25" ht="15" x14ac:dyDescent="0.25">
      <c r="T88" t="s">
        <v>133</v>
      </c>
      <c r="U88" t="s">
        <v>65</v>
      </c>
      <c r="V88" s="108">
        <v>8.1500000000000003E-2</v>
      </c>
      <c r="W88" s="110">
        <v>9.0499999999999997E-2</v>
      </c>
      <c r="X88" s="110">
        <v>9.5500000000000002E-2</v>
      </c>
      <c r="Y88" s="110">
        <v>0.03</v>
      </c>
    </row>
    <row r="89" spans="20:25" ht="15" x14ac:dyDescent="0.25">
      <c r="T89" t="s">
        <v>128</v>
      </c>
      <c r="U89" t="s">
        <v>50</v>
      </c>
      <c r="V89" s="108">
        <v>0.10299999999999999</v>
      </c>
      <c r="W89" s="110">
        <v>0.114</v>
      </c>
      <c r="X89" s="110">
        <v>0.1205</v>
      </c>
      <c r="Y89" s="110">
        <v>3.5000000000000003E-2</v>
      </c>
    </row>
    <row r="90" spans="20:25" ht="15" x14ac:dyDescent="0.25">
      <c r="T90" t="s">
        <v>128</v>
      </c>
      <c r="U90" t="s">
        <v>59</v>
      </c>
      <c r="V90" s="108">
        <v>0.10299999999999999</v>
      </c>
      <c r="W90" s="110">
        <v>0.114</v>
      </c>
      <c r="X90" s="110">
        <v>0.1205</v>
      </c>
      <c r="Y90" s="110">
        <v>3.5000000000000003E-2</v>
      </c>
    </row>
    <row r="91" spans="20:25" ht="15" x14ac:dyDescent="0.25">
      <c r="T91" t="s">
        <v>130</v>
      </c>
      <c r="U91" t="s">
        <v>116</v>
      </c>
      <c r="V91" s="108">
        <v>8.1500000000000003E-2</v>
      </c>
      <c r="W91" s="110">
        <v>9.0499999999999997E-2</v>
      </c>
      <c r="X91" s="110">
        <v>9.5500000000000002E-2</v>
      </c>
      <c r="Y91" s="110">
        <v>0.03</v>
      </c>
    </row>
    <row r="92" spans="20:25" ht="15" x14ac:dyDescent="0.25">
      <c r="T92" t="s">
        <v>130</v>
      </c>
      <c r="U92" t="s">
        <v>117</v>
      </c>
      <c r="V92" s="108">
        <v>8.1500000000000003E-2</v>
      </c>
      <c r="W92" s="110">
        <v>9.0499999999999997E-2</v>
      </c>
      <c r="X92" s="110">
        <v>9.5500000000000002E-2</v>
      </c>
      <c r="Y92" s="110">
        <v>0.03</v>
      </c>
    </row>
    <row r="93" spans="20:25" ht="15" x14ac:dyDescent="0.25">
      <c r="T93" t="s">
        <v>127</v>
      </c>
      <c r="U93" t="s">
        <v>39</v>
      </c>
      <c r="V93" s="108">
        <v>6.7500000000000004E-2</v>
      </c>
      <c r="W93" s="110">
        <v>7.6499999999999999E-2</v>
      </c>
      <c r="X93" s="110">
        <v>8.1500000000000003E-2</v>
      </c>
      <c r="Y93" s="110">
        <v>0.03</v>
      </c>
    </row>
    <row r="94" spans="20:25" ht="15" x14ac:dyDescent="0.25">
      <c r="T94" t="s">
        <v>127</v>
      </c>
      <c r="U94" t="s">
        <v>51</v>
      </c>
      <c r="V94" s="108">
        <v>6.7500000000000004E-2</v>
      </c>
      <c r="W94" s="110">
        <v>7.6499999999999999E-2</v>
      </c>
      <c r="X94" s="110">
        <v>8.1500000000000003E-2</v>
      </c>
      <c r="Y94" s="110">
        <v>0.03</v>
      </c>
    </row>
    <row r="95" spans="20:25" ht="15" x14ac:dyDescent="0.25">
      <c r="T95" t="s">
        <v>127</v>
      </c>
      <c r="U95" t="s">
        <v>55</v>
      </c>
      <c r="V95" s="108">
        <v>6.7500000000000004E-2</v>
      </c>
      <c r="W95" s="110">
        <v>7.6499999999999999E-2</v>
      </c>
      <c r="X95" s="110">
        <v>8.1500000000000003E-2</v>
      </c>
      <c r="Y95" s="110">
        <v>0.03</v>
      </c>
    </row>
    <row r="96" spans="20:25" ht="15" x14ac:dyDescent="0.25">
      <c r="T96" t="s">
        <v>127</v>
      </c>
      <c r="U96" t="s">
        <v>118</v>
      </c>
      <c r="V96" s="108">
        <v>6.7500000000000004E-2</v>
      </c>
      <c r="W96" s="110">
        <v>7.6499999999999999E-2</v>
      </c>
      <c r="X96" s="110">
        <v>8.1500000000000003E-2</v>
      </c>
      <c r="Y96" s="110">
        <v>0.03</v>
      </c>
    </row>
    <row r="97" spans="20:25" ht="15" x14ac:dyDescent="0.25">
      <c r="T97" t="s">
        <v>127</v>
      </c>
      <c r="U97" t="s">
        <v>119</v>
      </c>
      <c r="V97" s="108">
        <v>6.7500000000000004E-2</v>
      </c>
      <c r="W97" s="110">
        <v>7.6499999999999999E-2</v>
      </c>
      <c r="X97" s="110">
        <v>8.1500000000000003E-2</v>
      </c>
      <c r="Y97" s="110">
        <v>0.03</v>
      </c>
    </row>
    <row r="98" spans="20:25" ht="15" x14ac:dyDescent="0.25">
      <c r="T98" t="s">
        <v>134</v>
      </c>
      <c r="U98" t="s">
        <v>120</v>
      </c>
      <c r="V98" s="108">
        <v>8.0500000000000002E-2</v>
      </c>
      <c r="W98" s="110">
        <v>8.8999999999999996E-2</v>
      </c>
      <c r="X98" s="110">
        <v>9.4500000000000001E-2</v>
      </c>
      <c r="Y98" s="110">
        <v>0.03</v>
      </c>
    </row>
    <row r="99" spans="20:25" ht="15" x14ac:dyDescent="0.25">
      <c r="T99" t="s">
        <v>134</v>
      </c>
      <c r="U99" t="s">
        <v>121</v>
      </c>
      <c r="V99" s="108">
        <v>8.0500000000000002E-2</v>
      </c>
      <c r="W99" s="110">
        <v>8.8999999999999996E-2</v>
      </c>
      <c r="X99" s="110">
        <v>9.4500000000000001E-2</v>
      </c>
      <c r="Y99" s="110">
        <v>0.03</v>
      </c>
    </row>
    <row r="100" spans="20:25" ht="15" x14ac:dyDescent="0.25">
      <c r="T100" t="s">
        <v>134</v>
      </c>
      <c r="U100" t="s">
        <v>122</v>
      </c>
      <c r="V100" s="108">
        <v>8.0500000000000002E-2</v>
      </c>
      <c r="W100" s="110">
        <v>8.8999999999999996E-2</v>
      </c>
      <c r="X100" s="110">
        <v>9.4500000000000001E-2</v>
      </c>
      <c r="Y100" s="110">
        <v>0.03</v>
      </c>
    </row>
    <row r="101" spans="20:25" ht="15" x14ac:dyDescent="0.25">
      <c r="T101" t="s">
        <v>134</v>
      </c>
      <c r="U101" t="s">
        <v>123</v>
      </c>
      <c r="V101" s="108">
        <v>8.0500000000000002E-2</v>
      </c>
      <c r="W101" s="110">
        <v>8.8999999999999996E-2</v>
      </c>
      <c r="X101" s="110">
        <v>9.4500000000000001E-2</v>
      </c>
      <c r="Y101" s="110">
        <v>0.03</v>
      </c>
    </row>
    <row r="102" spans="20:25" ht="15" x14ac:dyDescent="0.25">
      <c r="T102" t="s">
        <v>134</v>
      </c>
      <c r="U102" t="s">
        <v>124</v>
      </c>
      <c r="V102" s="108">
        <v>8.0500000000000002E-2</v>
      </c>
      <c r="W102" s="110">
        <v>8.8999999999999996E-2</v>
      </c>
      <c r="X102" s="110">
        <v>9.4500000000000001E-2</v>
      </c>
      <c r="Y102" s="110">
        <v>0.03</v>
      </c>
    </row>
    <row r="103" spans="20:25" ht="15" x14ac:dyDescent="0.25">
      <c r="T103" t="s">
        <v>145</v>
      </c>
      <c r="U103" t="s">
        <v>146</v>
      </c>
      <c r="V103" s="108">
        <v>8.0500000000000002E-2</v>
      </c>
      <c r="W103" s="110">
        <v>8.8999999999999996E-2</v>
      </c>
      <c r="X103" s="110">
        <v>9.4500000000000001E-2</v>
      </c>
      <c r="Y103" s="110">
        <v>0.03</v>
      </c>
    </row>
    <row r="104" spans="20:25" ht="15" x14ac:dyDescent="0.25">
      <c r="T104" t="s">
        <v>134</v>
      </c>
      <c r="U104" t="s">
        <v>147</v>
      </c>
      <c r="V104" s="108">
        <v>8.0500000000000002E-2</v>
      </c>
      <c r="W104" s="110">
        <v>8.8999999999999996E-2</v>
      </c>
      <c r="X104" s="110">
        <v>9.4500000000000001E-2</v>
      </c>
      <c r="Y104" s="110">
        <v>0.03</v>
      </c>
    </row>
    <row r="105" spans="20:25" ht="15" x14ac:dyDescent="0.25">
      <c r="T105" t="s">
        <v>145</v>
      </c>
      <c r="U105" t="s">
        <v>148</v>
      </c>
      <c r="V105" s="108">
        <v>8.0500000000000002E-2</v>
      </c>
      <c r="W105" s="110">
        <v>8.8999999999999996E-2</v>
      </c>
      <c r="X105" s="110">
        <v>9.4500000000000001E-2</v>
      </c>
      <c r="Y105" s="110">
        <v>0.03</v>
      </c>
    </row>
    <row r="106" spans="20:25" ht="15" x14ac:dyDescent="0.25">
      <c r="T106" t="s">
        <v>134</v>
      </c>
      <c r="U106" t="s">
        <v>149</v>
      </c>
      <c r="V106" s="108">
        <v>8.0500000000000002E-2</v>
      </c>
      <c r="W106" s="110">
        <v>8.8999999999999996E-2</v>
      </c>
      <c r="X106" s="110">
        <v>9.4500000000000001E-2</v>
      </c>
      <c r="Y106" s="110">
        <v>0.03</v>
      </c>
    </row>
    <row r="107" spans="20:25" ht="15" x14ac:dyDescent="0.25">
      <c r="T107" t="s">
        <v>134</v>
      </c>
      <c r="U107" t="s">
        <v>150</v>
      </c>
      <c r="V107" s="108">
        <v>8.0500000000000002E-2</v>
      </c>
      <c r="W107" s="110">
        <v>8.8999999999999996E-2</v>
      </c>
      <c r="X107" s="110">
        <v>9.4500000000000001E-2</v>
      </c>
      <c r="Y107" s="110">
        <v>0.03</v>
      </c>
    </row>
    <row r="108" spans="20:25" ht="15" x14ac:dyDescent="0.25">
      <c r="T108" t="s">
        <v>134</v>
      </c>
      <c r="U108" t="s">
        <v>151</v>
      </c>
      <c r="V108" s="108">
        <v>8.0500000000000002E-2</v>
      </c>
      <c r="W108" s="110">
        <v>8.8999999999999996E-2</v>
      </c>
      <c r="X108" s="110">
        <v>9.4500000000000001E-2</v>
      </c>
      <c r="Y108" s="110">
        <v>0.03</v>
      </c>
    </row>
    <row r="109" spans="20:25" ht="15" x14ac:dyDescent="0.25">
      <c r="T109" t="s">
        <v>73</v>
      </c>
      <c r="U109" t="s">
        <v>152</v>
      </c>
      <c r="V109" s="108">
        <v>7.2999999999999995E-2</v>
      </c>
      <c r="W109" s="110">
        <v>8.2000000000000003E-2</v>
      </c>
      <c r="X109" s="110">
        <v>8.6999999999999994E-2</v>
      </c>
      <c r="Y109" s="110">
        <v>0.03</v>
      </c>
    </row>
    <row r="110" spans="20:25" ht="15" x14ac:dyDescent="0.25">
      <c r="T110" t="s">
        <v>73</v>
      </c>
      <c r="U110" t="s">
        <v>153</v>
      </c>
      <c r="V110" s="108">
        <v>7.2999999999999995E-2</v>
      </c>
      <c r="W110" s="110">
        <v>8.2000000000000003E-2</v>
      </c>
      <c r="X110" s="110">
        <v>8.6999999999999994E-2</v>
      </c>
      <c r="Y110" s="110">
        <v>0.03</v>
      </c>
    </row>
    <row r="111" spans="20:25" ht="15" x14ac:dyDescent="0.25">
      <c r="T111" t="s">
        <v>73</v>
      </c>
      <c r="U111" t="s">
        <v>154</v>
      </c>
      <c r="V111" s="108">
        <v>7.2999999999999995E-2</v>
      </c>
      <c r="W111" s="110">
        <v>8.2000000000000003E-2</v>
      </c>
      <c r="X111" s="110">
        <v>8.6999999999999994E-2</v>
      </c>
      <c r="Y111" s="110">
        <v>0.03</v>
      </c>
    </row>
    <row r="112" spans="20:25" ht="15" x14ac:dyDescent="0.25">
      <c r="T112" t="s">
        <v>73</v>
      </c>
      <c r="U112" t="s">
        <v>155</v>
      </c>
      <c r="V112" s="108">
        <v>7.2999999999999995E-2</v>
      </c>
      <c r="W112" s="110">
        <v>8.2000000000000003E-2</v>
      </c>
      <c r="X112" s="110">
        <v>8.6999999999999994E-2</v>
      </c>
      <c r="Y112" s="110">
        <v>0.03</v>
      </c>
    </row>
    <row r="113" spans="20:25" ht="15" x14ac:dyDescent="0.25">
      <c r="T113" t="s">
        <v>73</v>
      </c>
      <c r="U113" t="s">
        <v>156</v>
      </c>
      <c r="V113" s="108">
        <v>7.2999999999999995E-2</v>
      </c>
      <c r="W113" s="110">
        <v>8.2000000000000003E-2</v>
      </c>
      <c r="X113" s="110">
        <v>8.6999999999999994E-2</v>
      </c>
      <c r="Y113" s="110">
        <v>0.03</v>
      </c>
    </row>
  </sheetData>
  <sheetProtection algorithmName="SHA-512" hashValue="ilG5oDJSP9+yWkUZUPASFp+fCVXbz4csCRd0pF9LjXb3OWy2146T+CXq2xGpIQnLSZeWKShTDkxebc75vVaS3Q==" saltValue="MyCYQ5/MeXcuR61fxgProw==" spinCount="100000" sheet="1" selectLockedCells="1"/>
  <autoFilter ref="T60:Y113" xr:uid="{BF94E396-1CEA-457E-B85A-2705208C05D3}"/>
  <dataConsolidate/>
  <mergeCells count="20">
    <mergeCell ref="F10:F19"/>
    <mergeCell ref="F21:F23"/>
    <mergeCell ref="L20:P22"/>
    <mergeCell ref="G21:I21"/>
    <mergeCell ref="L17:Q19"/>
    <mergeCell ref="L9:Q9"/>
    <mergeCell ref="C10:E10"/>
    <mergeCell ref="G10:I10"/>
    <mergeCell ref="L10:M13"/>
    <mergeCell ref="N10:Q13"/>
    <mergeCell ref="L15:Q15"/>
    <mergeCell ref="L16:Q16"/>
    <mergeCell ref="C2:F2"/>
    <mergeCell ref="G2:J2"/>
    <mergeCell ref="C3:F3"/>
    <mergeCell ref="G3:J3"/>
    <mergeCell ref="C5:I6"/>
    <mergeCell ref="L5:Q8"/>
    <mergeCell ref="C8:D8"/>
    <mergeCell ref="E8:I8"/>
  </mergeCells>
  <dataValidations count="2">
    <dataValidation type="list" allowBlank="1" showInputMessage="1" showErrorMessage="1" sqref="C2:F2" xr:uid="{483DDC86-48E9-40D3-B9A2-C3DA2F6E91DE}">
      <formula1>$T$7:$T$59</formula1>
    </dataValidation>
    <dataValidation type="list" allowBlank="1" showInputMessage="1" showErrorMessage="1" sqref="C3" xr:uid="{D9596BDF-3076-4973-9866-6BE66944A2A6}">
      <formula1>INDIRECT(C2)</formula1>
    </dataValidation>
  </dataValidations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8FB89-F415-4386-8D7A-58E9649E9557}">
  <sheetPr codeName="Sheet3"/>
  <dimension ref="B1:V55"/>
  <sheetViews>
    <sheetView showGridLines="0" workbookViewId="0">
      <pane xSplit="2" ySplit="2" topLeftCell="C3" activePane="bottomRight" state="frozen"/>
      <selection pane="topRight" activeCell="C1" sqref="C1"/>
      <selection pane="bottomLeft" activeCell="A4" sqref="A4"/>
      <selection pane="bottomRight" activeCell="H13" sqref="H13"/>
    </sheetView>
  </sheetViews>
  <sheetFormatPr defaultRowHeight="15" x14ac:dyDescent="0.25"/>
  <cols>
    <col min="1" max="1" width="1.28515625" customWidth="1"/>
    <col min="2" max="2" width="20.28515625" customWidth="1"/>
    <col min="3" max="3" width="7.85546875" style="1" customWidth="1"/>
    <col min="4" max="4" width="9" style="1" customWidth="1"/>
    <col min="5" max="5" width="10.7109375" customWidth="1"/>
    <col min="6" max="6" width="8" customWidth="1"/>
    <col min="7" max="7" width="7.85546875" customWidth="1"/>
    <col min="8" max="8" width="10.28515625" customWidth="1"/>
    <col min="16" max="17" width="7.85546875" bestFit="1" customWidth="1"/>
  </cols>
  <sheetData>
    <row r="1" spans="2:22" ht="15.75" thickBot="1" x14ac:dyDescent="0.3"/>
    <row r="2" spans="2:22" s="2" customFormat="1" ht="21" customHeight="1" thickBot="1" x14ac:dyDescent="0.3">
      <c r="B2" s="59" t="s">
        <v>6</v>
      </c>
      <c r="C2" s="142" t="s">
        <v>34</v>
      </c>
      <c r="D2" s="143"/>
      <c r="E2" s="143"/>
      <c r="F2" s="143"/>
      <c r="G2" s="143"/>
      <c r="H2" s="144"/>
      <c r="P2" s="16" t="s">
        <v>15</v>
      </c>
      <c r="Q2" s="16" t="s">
        <v>16</v>
      </c>
      <c r="R2" s="16" t="s">
        <v>17</v>
      </c>
      <c r="S2" s="16" t="s">
        <v>0</v>
      </c>
      <c r="T2" s="16" t="s">
        <v>18</v>
      </c>
      <c r="U2" s="16" t="s">
        <v>19</v>
      </c>
      <c r="V2" s="17" t="s">
        <v>20</v>
      </c>
    </row>
    <row r="3" spans="2:22" s="29" customFormat="1" ht="23.25" customHeight="1" x14ac:dyDescent="0.25">
      <c r="B3" s="26"/>
      <c r="C3" s="27"/>
      <c r="D3" s="28" t="s">
        <v>10</v>
      </c>
      <c r="E3" s="42" t="s">
        <v>11</v>
      </c>
      <c r="F3" s="27"/>
      <c r="G3" s="28" t="s">
        <v>10</v>
      </c>
      <c r="H3" s="42" t="s">
        <v>11</v>
      </c>
      <c r="P3" s="18" t="s">
        <v>21</v>
      </c>
      <c r="Q3" s="18" t="s">
        <v>22</v>
      </c>
      <c r="R3" s="30" t="s">
        <v>23</v>
      </c>
      <c r="S3" s="20">
        <v>62496</v>
      </c>
      <c r="T3" s="30" t="s">
        <v>24</v>
      </c>
      <c r="U3" s="21">
        <v>2500</v>
      </c>
      <c r="V3" s="22">
        <f>U3/S3</f>
        <v>4.0002560163850488E-2</v>
      </c>
    </row>
    <row r="4" spans="2:22" x14ac:dyDescent="0.25">
      <c r="B4" s="14" t="s">
        <v>0</v>
      </c>
      <c r="C4" s="7"/>
      <c r="D4" s="4">
        <f>INDEX(S3:S55, MATCH(C2, R3:R55, 0))</f>
        <v>89606.400000000009</v>
      </c>
      <c r="E4" s="10"/>
      <c r="F4" s="7"/>
      <c r="G4" s="4">
        <f>INDEX(S3:S55, MATCH(C2, R3:R55, 0))</f>
        <v>89606.400000000009</v>
      </c>
      <c r="H4" s="10"/>
      <c r="I4" s="29"/>
      <c r="P4" s="18" t="s">
        <v>21</v>
      </c>
      <c r="Q4" s="18" t="s">
        <v>22</v>
      </c>
      <c r="R4" s="19" t="s">
        <v>25</v>
      </c>
      <c r="S4" s="20">
        <v>68684.800000000003</v>
      </c>
      <c r="T4" s="19" t="s">
        <v>24</v>
      </c>
      <c r="U4" s="21">
        <v>2500</v>
      </c>
      <c r="V4" s="22">
        <f t="shared" ref="V4:V55" si="0">U4/S4</f>
        <v>3.6398155050316808E-2</v>
      </c>
    </row>
    <row r="5" spans="2:22" s="2" customFormat="1" x14ac:dyDescent="0.25">
      <c r="B5" s="15" t="s">
        <v>1</v>
      </c>
      <c r="C5" s="25">
        <v>0.7</v>
      </c>
      <c r="D5" s="40">
        <f>D4*C5</f>
        <v>62724.480000000003</v>
      </c>
      <c r="E5" s="13"/>
      <c r="F5" s="25">
        <v>0.8</v>
      </c>
      <c r="G5" s="40">
        <f>G4*F5</f>
        <v>71685.12000000001</v>
      </c>
      <c r="H5" s="13"/>
      <c r="I5" s="29"/>
      <c r="J5" s="41"/>
      <c r="P5" s="18" t="s">
        <v>21</v>
      </c>
      <c r="Q5" s="18" t="s">
        <v>22</v>
      </c>
      <c r="R5" s="19" t="s">
        <v>26</v>
      </c>
      <c r="S5" s="20">
        <v>70176</v>
      </c>
      <c r="T5" s="19" t="s">
        <v>24</v>
      </c>
      <c r="U5" s="21">
        <v>2500</v>
      </c>
      <c r="V5" s="22">
        <f t="shared" si="0"/>
        <v>3.5624715002279983E-2</v>
      </c>
    </row>
    <row r="6" spans="2:22" x14ac:dyDescent="0.25">
      <c r="B6" s="14" t="s">
        <v>9</v>
      </c>
      <c r="C6" s="60">
        <v>12</v>
      </c>
      <c r="D6" s="4">
        <f>((D5*C7)+D5)/12</f>
        <v>5828.1496000000006</v>
      </c>
      <c r="E6" s="12">
        <f>((D5*6.5%)+D5)/12</f>
        <v>5566.7976000000008</v>
      </c>
      <c r="F6" s="60">
        <v>18</v>
      </c>
      <c r="G6" s="4">
        <f>((G5*F7)*1.5+G5)/18</f>
        <v>4729.2266666666674</v>
      </c>
      <c r="H6" s="12">
        <f>((G5*6.5%)*1.5+G5)/18</f>
        <v>4370.8010666666669</v>
      </c>
      <c r="I6" s="29"/>
      <c r="P6" s="18" t="s">
        <v>21</v>
      </c>
      <c r="Q6" s="18" t="s">
        <v>27</v>
      </c>
      <c r="R6" s="19" t="s">
        <v>28</v>
      </c>
      <c r="S6" s="20">
        <v>71353.600000000006</v>
      </c>
      <c r="T6" s="19" t="s">
        <v>24</v>
      </c>
      <c r="U6" s="21">
        <v>2500</v>
      </c>
      <c r="V6" s="22">
        <f t="shared" si="0"/>
        <v>3.503677459861871E-2</v>
      </c>
    </row>
    <row r="7" spans="2:22" x14ac:dyDescent="0.25">
      <c r="B7" s="14" t="s">
        <v>5</v>
      </c>
      <c r="C7" s="8">
        <v>0.115</v>
      </c>
      <c r="D7" s="5"/>
      <c r="E7" s="10"/>
      <c r="F7" s="8">
        <v>0.125</v>
      </c>
      <c r="G7" s="5"/>
      <c r="H7" s="10"/>
      <c r="P7" s="23" t="s">
        <v>29</v>
      </c>
      <c r="Q7" s="23" t="s">
        <v>30</v>
      </c>
      <c r="R7" s="19" t="s">
        <v>31</v>
      </c>
      <c r="S7" s="20">
        <v>109996.8</v>
      </c>
      <c r="T7" s="19" t="s">
        <v>24</v>
      </c>
      <c r="U7" s="21">
        <v>2500</v>
      </c>
      <c r="V7" s="22">
        <f t="shared" si="0"/>
        <v>2.2727933903531738E-2</v>
      </c>
    </row>
    <row r="8" spans="2:22" x14ac:dyDescent="0.25">
      <c r="B8" s="14" t="s">
        <v>2</v>
      </c>
      <c r="C8" s="8">
        <v>3.5000000000000003E-2</v>
      </c>
      <c r="D8" s="4">
        <f>D5*C8</f>
        <v>2195.3568000000005</v>
      </c>
      <c r="E8" s="11">
        <v>0</v>
      </c>
      <c r="F8" s="8">
        <v>3.5000000000000003E-2</v>
      </c>
      <c r="G8" s="4">
        <f>G5*F8</f>
        <v>2508.9792000000007</v>
      </c>
      <c r="H8" s="11">
        <v>0</v>
      </c>
      <c r="P8" s="23" t="s">
        <v>29</v>
      </c>
      <c r="Q8" s="23" t="s">
        <v>30</v>
      </c>
      <c r="R8" s="19" t="s">
        <v>32</v>
      </c>
      <c r="S8" s="20">
        <v>89996.800000000003</v>
      </c>
      <c r="T8" s="19" t="s">
        <v>24</v>
      </c>
      <c r="U8" s="21">
        <v>2500</v>
      </c>
      <c r="V8" s="22">
        <f t="shared" si="0"/>
        <v>2.777876546721661E-2</v>
      </c>
    </row>
    <row r="9" spans="2:22" x14ac:dyDescent="0.25">
      <c r="B9" s="14" t="s">
        <v>3</v>
      </c>
      <c r="C9" s="7"/>
      <c r="D9" s="3">
        <v>200</v>
      </c>
      <c r="E9" s="11">
        <v>200</v>
      </c>
      <c r="F9" s="7"/>
      <c r="G9" s="3">
        <v>200</v>
      </c>
      <c r="H9" s="11">
        <v>200</v>
      </c>
      <c r="P9" s="23" t="s">
        <v>29</v>
      </c>
      <c r="Q9" s="23" t="s">
        <v>30</v>
      </c>
      <c r="R9" s="19" t="s">
        <v>33</v>
      </c>
      <c r="S9" s="20">
        <v>95001.600000000006</v>
      </c>
      <c r="T9" s="19" t="s">
        <v>24</v>
      </c>
      <c r="U9" s="21">
        <v>2500</v>
      </c>
      <c r="V9" s="22">
        <f t="shared" si="0"/>
        <v>2.631534626785233E-2</v>
      </c>
    </row>
    <row r="10" spans="2:22" x14ac:dyDescent="0.25">
      <c r="B10" s="14" t="s">
        <v>4</v>
      </c>
      <c r="C10" s="7"/>
      <c r="D10" s="3">
        <v>550</v>
      </c>
      <c r="E10" s="11">
        <v>0</v>
      </c>
      <c r="F10" s="7"/>
      <c r="G10" s="3">
        <v>550</v>
      </c>
      <c r="H10" s="11">
        <v>0</v>
      </c>
      <c r="P10" s="18" t="s">
        <v>21</v>
      </c>
      <c r="Q10" s="18" t="s">
        <v>30</v>
      </c>
      <c r="R10" s="19" t="s">
        <v>34</v>
      </c>
      <c r="S10" s="20">
        <v>89606.400000000009</v>
      </c>
      <c r="T10" s="19" t="s">
        <v>24</v>
      </c>
      <c r="U10" s="21">
        <v>2500</v>
      </c>
      <c r="V10" s="22">
        <f t="shared" si="0"/>
        <v>2.7899792871937716E-2</v>
      </c>
    </row>
    <row r="11" spans="2:22" x14ac:dyDescent="0.25">
      <c r="B11" s="14" t="s">
        <v>91</v>
      </c>
      <c r="C11" s="7"/>
      <c r="D11" s="3">
        <v>500</v>
      </c>
      <c r="E11" s="10"/>
      <c r="F11" s="33"/>
      <c r="G11" s="3">
        <v>500</v>
      </c>
      <c r="H11" s="31"/>
      <c r="P11" s="18" t="s">
        <v>21</v>
      </c>
      <c r="Q11" s="23" t="s">
        <v>30</v>
      </c>
      <c r="R11" s="19" t="s">
        <v>35</v>
      </c>
      <c r="S11" s="20">
        <v>91609.600000000006</v>
      </c>
      <c r="T11" s="19" t="s">
        <v>24</v>
      </c>
      <c r="U11" s="21">
        <v>2500</v>
      </c>
      <c r="V11" s="22">
        <f t="shared" si="0"/>
        <v>2.7289716361604023E-2</v>
      </c>
    </row>
    <row r="12" spans="2:22" ht="16.5" customHeight="1" x14ac:dyDescent="0.25">
      <c r="B12" s="43" t="s">
        <v>92</v>
      </c>
      <c r="C12" s="33"/>
      <c r="D12" s="61">
        <f>(D4-D5)+D8+D9+D10+D11</f>
        <v>30327.276800000007</v>
      </c>
      <c r="E12" s="61">
        <f>(D4-D5)+E8+E9+E10+E11</f>
        <v>27081.920000000006</v>
      </c>
      <c r="F12" s="33"/>
      <c r="G12" s="61">
        <f>(G4-G5)+G8+G9+G10+G11</f>
        <v>21680.2592</v>
      </c>
      <c r="H12" s="61">
        <f>(G4-G5)+H8+H9+H10+E11</f>
        <v>18121.28</v>
      </c>
      <c r="P12" s="18" t="s">
        <v>21</v>
      </c>
      <c r="Q12" s="18" t="s">
        <v>30</v>
      </c>
      <c r="R12" s="19" t="s">
        <v>36</v>
      </c>
      <c r="S12" s="20">
        <v>83846.400000000009</v>
      </c>
      <c r="T12" s="19" t="s">
        <v>24</v>
      </c>
      <c r="U12" s="21">
        <v>2500</v>
      </c>
      <c r="V12" s="22">
        <f t="shared" si="0"/>
        <v>2.9816426227005571E-2</v>
      </c>
    </row>
    <row r="13" spans="2:22" s="2" customFormat="1" x14ac:dyDescent="0.25">
      <c r="B13" s="34" t="s">
        <v>7</v>
      </c>
      <c r="C13" s="9"/>
      <c r="D13" s="6">
        <f>SUM(D8:D12)</f>
        <v>33772.633600000008</v>
      </c>
      <c r="E13" s="32">
        <f>SUM(E8:E12)</f>
        <v>27281.920000000006</v>
      </c>
      <c r="F13" s="9"/>
      <c r="G13" s="6">
        <f>SUM(G8:G12)</f>
        <v>25439.238400000002</v>
      </c>
      <c r="H13" s="32">
        <f>SUM(H8:H12)</f>
        <v>18321.28</v>
      </c>
      <c r="P13" s="35" t="s">
        <v>37</v>
      </c>
      <c r="Q13" s="35" t="s">
        <v>38</v>
      </c>
      <c r="R13" s="36" t="s">
        <v>39</v>
      </c>
      <c r="S13" s="37">
        <v>99998</v>
      </c>
      <c r="T13" s="36" t="s">
        <v>40</v>
      </c>
      <c r="U13" s="38">
        <v>4500</v>
      </c>
      <c r="V13" s="39">
        <f t="shared" si="0"/>
        <v>4.5000900018000362E-2</v>
      </c>
    </row>
    <row r="14" spans="2:22" x14ac:dyDescent="0.25">
      <c r="B14" s="14"/>
      <c r="C14" s="7"/>
      <c r="D14" s="3"/>
      <c r="E14" s="10"/>
      <c r="F14" s="7"/>
      <c r="G14" s="3"/>
      <c r="H14" s="10"/>
      <c r="P14" s="18" t="s">
        <v>21</v>
      </c>
      <c r="Q14" s="23" t="s">
        <v>30</v>
      </c>
      <c r="R14" s="19" t="s">
        <v>41</v>
      </c>
      <c r="S14" s="20">
        <v>92704</v>
      </c>
      <c r="T14" s="19" t="s">
        <v>24</v>
      </c>
      <c r="U14" s="21">
        <v>2500</v>
      </c>
      <c r="V14" s="22">
        <f t="shared" si="0"/>
        <v>2.6967552640662754E-2</v>
      </c>
    </row>
    <row r="15" spans="2:22" x14ac:dyDescent="0.25">
      <c r="B15" s="14" t="s">
        <v>12</v>
      </c>
      <c r="C15" s="7"/>
      <c r="D15" s="3"/>
      <c r="E15" s="57">
        <f>D13-E13</f>
        <v>6490.7136000000028</v>
      </c>
      <c r="F15" s="7"/>
      <c r="G15" s="3"/>
      <c r="H15" s="57">
        <f>G13-H13</f>
        <v>7117.9584000000032</v>
      </c>
      <c r="P15" s="18" t="s">
        <v>21</v>
      </c>
      <c r="Q15" s="23" t="s">
        <v>30</v>
      </c>
      <c r="R15" s="19" t="s">
        <v>42</v>
      </c>
      <c r="S15" s="20">
        <v>96704</v>
      </c>
      <c r="T15" s="19" t="s">
        <v>24</v>
      </c>
      <c r="U15" s="21">
        <v>2500</v>
      </c>
      <c r="V15" s="22">
        <f t="shared" si="0"/>
        <v>2.5852084712111183E-2</v>
      </c>
    </row>
    <row r="16" spans="2:22" x14ac:dyDescent="0.25">
      <c r="B16" s="14" t="s">
        <v>13</v>
      </c>
      <c r="C16" s="7"/>
      <c r="D16" s="3"/>
      <c r="E16" s="58">
        <f>INDEX(U3:U55, MATCH(C2, R3:R55, 0))</f>
        <v>2500</v>
      </c>
      <c r="F16" s="7"/>
      <c r="G16" s="3"/>
      <c r="H16" s="58">
        <f>INDEX(U3:U55, MATCH(C2, R3:R55, 0))</f>
        <v>2500</v>
      </c>
      <c r="P16" s="18" t="s">
        <v>21</v>
      </c>
      <c r="Q16" s="23" t="s">
        <v>30</v>
      </c>
      <c r="R16" s="19" t="s">
        <v>43</v>
      </c>
      <c r="S16" s="20">
        <v>99501.226666666669</v>
      </c>
      <c r="T16" s="19" t="s">
        <v>24</v>
      </c>
      <c r="U16" s="21">
        <v>2500</v>
      </c>
      <c r="V16" s="22">
        <f t="shared" si="0"/>
        <v>2.5125318388034612E-2</v>
      </c>
    </row>
    <row r="17" spans="2:22" s="50" customFormat="1" ht="16.5" thickBot="1" x14ac:dyDescent="0.3">
      <c r="B17" s="44" t="s">
        <v>14</v>
      </c>
      <c r="C17" s="45"/>
      <c r="D17" s="46"/>
      <c r="E17" s="47">
        <f>E15+E16</f>
        <v>8990.7136000000028</v>
      </c>
      <c r="F17" s="48"/>
      <c r="G17" s="49"/>
      <c r="H17" s="47">
        <f>H15+H16</f>
        <v>9617.9584000000032</v>
      </c>
      <c r="P17" s="51" t="s">
        <v>21</v>
      </c>
      <c r="Q17" s="52" t="s">
        <v>30</v>
      </c>
      <c r="R17" s="53" t="s">
        <v>44</v>
      </c>
      <c r="S17" s="54">
        <v>104474.02666666666</v>
      </c>
      <c r="T17" s="53" t="s">
        <v>24</v>
      </c>
      <c r="U17" s="55">
        <v>2500</v>
      </c>
      <c r="V17" s="56">
        <f t="shared" si="0"/>
        <v>2.3929392594165672E-2</v>
      </c>
    </row>
    <row r="18" spans="2:22" x14ac:dyDescent="0.25">
      <c r="P18" s="18" t="s">
        <v>21</v>
      </c>
      <c r="Q18" s="18" t="s">
        <v>45</v>
      </c>
      <c r="R18" s="19" t="s">
        <v>46</v>
      </c>
      <c r="S18" s="20">
        <v>111462.91893580982</v>
      </c>
      <c r="T18" s="19" t="s">
        <v>47</v>
      </c>
      <c r="U18" s="21">
        <v>4500</v>
      </c>
      <c r="V18" s="22">
        <f t="shared" si="0"/>
        <v>4.0372170789744852E-2</v>
      </c>
    </row>
    <row r="19" spans="2:22" x14ac:dyDescent="0.25">
      <c r="P19" s="18" t="s">
        <v>21</v>
      </c>
      <c r="Q19" s="18" t="s">
        <v>45</v>
      </c>
      <c r="R19" s="19" t="s">
        <v>48</v>
      </c>
      <c r="S19" s="20">
        <v>114611.71893580983</v>
      </c>
      <c r="T19" s="19" t="s">
        <v>47</v>
      </c>
      <c r="U19" s="21">
        <v>4500</v>
      </c>
      <c r="V19" s="22">
        <f t="shared" si="0"/>
        <v>3.9263000692977119E-2</v>
      </c>
    </row>
    <row r="20" spans="2:22" x14ac:dyDescent="0.25">
      <c r="P20" s="18" t="s">
        <v>21</v>
      </c>
      <c r="Q20" s="18" t="s">
        <v>45</v>
      </c>
      <c r="R20" s="19" t="s">
        <v>49</v>
      </c>
      <c r="S20" s="20">
        <v>118547.62666666672</v>
      </c>
      <c r="T20" s="19" t="s">
        <v>47</v>
      </c>
      <c r="U20" s="21">
        <v>4500</v>
      </c>
      <c r="V20" s="22">
        <f t="shared" si="0"/>
        <v>3.7959427164688336E-2</v>
      </c>
    </row>
    <row r="21" spans="2:22" x14ac:dyDescent="0.25">
      <c r="P21" s="18" t="s">
        <v>21</v>
      </c>
      <c r="Q21" s="18" t="s">
        <v>45</v>
      </c>
      <c r="R21" s="19" t="s">
        <v>50</v>
      </c>
      <c r="S21" s="20">
        <v>118566.63437053419</v>
      </c>
      <c r="T21" s="19" t="s">
        <v>47</v>
      </c>
      <c r="U21" s="21">
        <v>4500</v>
      </c>
      <c r="V21" s="22">
        <f t="shared" si="0"/>
        <v>3.7953341797128094E-2</v>
      </c>
    </row>
    <row r="22" spans="2:22" x14ac:dyDescent="0.25">
      <c r="P22" s="18" t="s">
        <v>37</v>
      </c>
      <c r="Q22" s="18" t="s">
        <v>38</v>
      </c>
      <c r="R22" s="19" t="s">
        <v>51</v>
      </c>
      <c r="S22" s="20">
        <v>119999.95</v>
      </c>
      <c r="T22" s="19" t="s">
        <v>40</v>
      </c>
      <c r="U22" s="21">
        <v>4500</v>
      </c>
      <c r="V22" s="22">
        <f t="shared" si="0"/>
        <v>3.7500015625006509E-2</v>
      </c>
    </row>
    <row r="23" spans="2:22" x14ac:dyDescent="0.25">
      <c r="P23" s="18" t="s">
        <v>21</v>
      </c>
      <c r="Q23" s="18" t="s">
        <v>45</v>
      </c>
      <c r="R23" s="19" t="s">
        <v>52</v>
      </c>
      <c r="S23" s="20">
        <v>121229.31893580983</v>
      </c>
      <c r="T23" s="19" t="s">
        <v>47</v>
      </c>
      <c r="U23" s="21">
        <v>4500</v>
      </c>
      <c r="V23" s="22">
        <f t="shared" si="0"/>
        <v>3.7119733406922151E-2</v>
      </c>
    </row>
    <row r="24" spans="2:22" x14ac:dyDescent="0.25">
      <c r="P24" s="18" t="s">
        <v>21</v>
      </c>
      <c r="Q24" s="18" t="s">
        <v>45</v>
      </c>
      <c r="R24" s="19" t="s">
        <v>53</v>
      </c>
      <c r="S24" s="20">
        <v>124730.11893580982</v>
      </c>
      <c r="T24" s="19" t="s">
        <v>47</v>
      </c>
      <c r="U24" s="21">
        <v>4500</v>
      </c>
      <c r="V24" s="22">
        <f t="shared" si="0"/>
        <v>3.6077893923245966E-2</v>
      </c>
    </row>
    <row r="25" spans="2:22" x14ac:dyDescent="0.25">
      <c r="P25" s="18" t="s">
        <v>21</v>
      </c>
      <c r="Q25" s="18" t="s">
        <v>45</v>
      </c>
      <c r="R25" s="19" t="s">
        <v>54</v>
      </c>
      <c r="S25" s="20">
        <v>131449.60000000001</v>
      </c>
      <c r="T25" s="19" t="s">
        <v>47</v>
      </c>
      <c r="U25" s="21">
        <v>4500</v>
      </c>
      <c r="V25" s="22">
        <f t="shared" si="0"/>
        <v>3.4233653050294563E-2</v>
      </c>
    </row>
    <row r="26" spans="2:22" x14ac:dyDescent="0.25">
      <c r="P26" s="18" t="s">
        <v>37</v>
      </c>
      <c r="Q26" s="18" t="s">
        <v>38</v>
      </c>
      <c r="R26" s="19" t="s">
        <v>55</v>
      </c>
      <c r="S26" s="20">
        <v>132000</v>
      </c>
      <c r="T26" s="19" t="s">
        <v>40</v>
      </c>
      <c r="U26" s="21">
        <v>4500</v>
      </c>
      <c r="V26" s="22">
        <f t="shared" si="0"/>
        <v>3.4090909090909088E-2</v>
      </c>
    </row>
    <row r="27" spans="2:22" x14ac:dyDescent="0.25">
      <c r="P27" s="18" t="s">
        <v>21</v>
      </c>
      <c r="Q27" s="18" t="s">
        <v>45</v>
      </c>
      <c r="R27" s="19" t="s">
        <v>56</v>
      </c>
      <c r="S27" s="20">
        <v>138873.60000000001</v>
      </c>
      <c r="T27" s="19" t="s">
        <v>47</v>
      </c>
      <c r="U27" s="21">
        <v>4500</v>
      </c>
      <c r="V27" s="22">
        <f t="shared" si="0"/>
        <v>3.2403566984653666E-2</v>
      </c>
    </row>
    <row r="28" spans="2:22" x14ac:dyDescent="0.25">
      <c r="P28" s="18" t="s">
        <v>21</v>
      </c>
      <c r="Q28" s="18" t="s">
        <v>45</v>
      </c>
      <c r="R28" s="19" t="s">
        <v>57</v>
      </c>
      <c r="S28" s="20">
        <v>140736</v>
      </c>
      <c r="T28" s="19" t="s">
        <v>47</v>
      </c>
      <c r="U28" s="21">
        <v>4500</v>
      </c>
      <c r="V28" s="22">
        <f t="shared" si="0"/>
        <v>3.197476125511596E-2</v>
      </c>
    </row>
    <row r="29" spans="2:22" x14ac:dyDescent="0.25">
      <c r="P29" s="18" t="s">
        <v>21</v>
      </c>
      <c r="Q29" s="18" t="s">
        <v>45</v>
      </c>
      <c r="R29" s="19" t="s">
        <v>58</v>
      </c>
      <c r="S29" s="20">
        <v>142105.60000000001</v>
      </c>
      <c r="T29" s="19" t="s">
        <v>47</v>
      </c>
      <c r="U29" s="21">
        <v>4500</v>
      </c>
      <c r="V29" s="22">
        <f t="shared" si="0"/>
        <v>3.1666591605116194E-2</v>
      </c>
    </row>
    <row r="30" spans="2:22" x14ac:dyDescent="0.25">
      <c r="P30" s="18" t="s">
        <v>21</v>
      </c>
      <c r="Q30" s="18" t="s">
        <v>45</v>
      </c>
      <c r="R30" s="19" t="s">
        <v>59</v>
      </c>
      <c r="S30" s="20">
        <v>145331.20000000001</v>
      </c>
      <c r="T30" s="19" t="s">
        <v>47</v>
      </c>
      <c r="U30" s="21">
        <v>4500</v>
      </c>
      <c r="V30" s="22">
        <f t="shared" si="0"/>
        <v>3.0963757266161702E-2</v>
      </c>
    </row>
    <row r="31" spans="2:22" x14ac:dyDescent="0.25">
      <c r="P31" s="18" t="s">
        <v>21</v>
      </c>
      <c r="Q31" s="18" t="s">
        <v>45</v>
      </c>
      <c r="R31" s="19" t="s">
        <v>60</v>
      </c>
      <c r="S31" s="20">
        <v>147206.39999999999</v>
      </c>
      <c r="T31" s="19" t="s">
        <v>47</v>
      </c>
      <c r="U31" s="21">
        <v>4500</v>
      </c>
      <c r="V31" s="22">
        <f t="shared" si="0"/>
        <v>3.0569323072909875E-2</v>
      </c>
    </row>
    <row r="32" spans="2:22" x14ac:dyDescent="0.25">
      <c r="P32" s="18" t="s">
        <v>21</v>
      </c>
      <c r="Q32" s="18" t="s">
        <v>45</v>
      </c>
      <c r="R32" s="19" t="s">
        <v>61</v>
      </c>
      <c r="S32" s="20">
        <v>151104</v>
      </c>
      <c r="T32" s="19" t="s">
        <v>47</v>
      </c>
      <c r="U32" s="21">
        <v>4500</v>
      </c>
      <c r="V32" s="22">
        <f t="shared" si="0"/>
        <v>2.9780813214739518E-2</v>
      </c>
    </row>
    <row r="33" spans="16:22" x14ac:dyDescent="0.25">
      <c r="P33" s="18" t="s">
        <v>21</v>
      </c>
      <c r="Q33" s="18" t="s">
        <v>45</v>
      </c>
      <c r="R33" s="19" t="s">
        <v>62</v>
      </c>
      <c r="S33" s="20">
        <v>151910.39999999999</v>
      </c>
      <c r="T33" s="19" t="s">
        <v>47</v>
      </c>
      <c r="U33" s="21">
        <v>4500</v>
      </c>
      <c r="V33" s="22">
        <f t="shared" si="0"/>
        <v>2.9622724974721942E-2</v>
      </c>
    </row>
    <row r="34" spans="16:22" x14ac:dyDescent="0.25">
      <c r="P34" s="18" t="s">
        <v>21</v>
      </c>
      <c r="Q34" s="18" t="s">
        <v>45</v>
      </c>
      <c r="R34" s="19" t="s">
        <v>63</v>
      </c>
      <c r="S34" s="20">
        <v>158976</v>
      </c>
      <c r="T34" s="19" t="s">
        <v>47</v>
      </c>
      <c r="U34" s="21">
        <v>4500</v>
      </c>
      <c r="V34" s="22">
        <f t="shared" si="0"/>
        <v>2.8306159420289856E-2</v>
      </c>
    </row>
    <row r="35" spans="16:22" x14ac:dyDescent="0.25">
      <c r="P35" s="18" t="s">
        <v>21</v>
      </c>
      <c r="Q35" s="23" t="s">
        <v>64</v>
      </c>
      <c r="R35" s="19" t="s">
        <v>65</v>
      </c>
      <c r="S35" s="20">
        <v>174419.20000000001</v>
      </c>
      <c r="T35" s="19" t="s">
        <v>66</v>
      </c>
      <c r="U35" s="21">
        <v>7000</v>
      </c>
      <c r="V35" s="22">
        <f t="shared" si="0"/>
        <v>4.0133196345356469E-2</v>
      </c>
    </row>
    <row r="36" spans="16:22" x14ac:dyDescent="0.25">
      <c r="P36" s="23" t="s">
        <v>67</v>
      </c>
      <c r="Q36" s="23" t="s">
        <v>64</v>
      </c>
      <c r="R36" s="19" t="s">
        <v>68</v>
      </c>
      <c r="S36" s="20">
        <v>181030.39999999999</v>
      </c>
      <c r="T36" s="19" t="s">
        <v>66</v>
      </c>
      <c r="U36" s="21">
        <v>9000</v>
      </c>
      <c r="V36" s="22">
        <f t="shared" si="0"/>
        <v>4.9715406915081667E-2</v>
      </c>
    </row>
    <row r="37" spans="16:22" x14ac:dyDescent="0.25">
      <c r="P37" s="18" t="s">
        <v>21</v>
      </c>
      <c r="Q37" s="23" t="s">
        <v>64</v>
      </c>
      <c r="R37" s="19" t="s">
        <v>69</v>
      </c>
      <c r="S37" s="20">
        <v>184115.20000000001</v>
      </c>
      <c r="T37" s="19" t="s">
        <v>66</v>
      </c>
      <c r="U37" s="21">
        <v>7000</v>
      </c>
      <c r="V37" s="22">
        <f t="shared" si="0"/>
        <v>3.8019674638487204E-2</v>
      </c>
    </row>
    <row r="38" spans="16:22" x14ac:dyDescent="0.25">
      <c r="P38" s="18" t="s">
        <v>21</v>
      </c>
      <c r="Q38" s="23" t="s">
        <v>64</v>
      </c>
      <c r="R38" s="19" t="s">
        <v>70</v>
      </c>
      <c r="S38" s="20">
        <v>184998.2</v>
      </c>
      <c r="T38" s="19" t="s">
        <v>66</v>
      </c>
      <c r="U38" s="21">
        <v>7000</v>
      </c>
      <c r="V38" s="22">
        <f t="shared" si="0"/>
        <v>3.7838205993355606E-2</v>
      </c>
    </row>
    <row r="39" spans="16:22" x14ac:dyDescent="0.25">
      <c r="P39" s="18" t="s">
        <v>21</v>
      </c>
      <c r="Q39" s="23" t="s">
        <v>64</v>
      </c>
      <c r="R39" s="19" t="s">
        <v>71</v>
      </c>
      <c r="S39" s="20">
        <v>185894.39999999999</v>
      </c>
      <c r="T39" s="19" t="s">
        <v>66</v>
      </c>
      <c r="U39" s="21">
        <v>7000</v>
      </c>
      <c r="V39" s="22">
        <f t="shared" si="0"/>
        <v>3.7655787371755151E-2</v>
      </c>
    </row>
    <row r="40" spans="16:22" x14ac:dyDescent="0.25">
      <c r="P40" s="23" t="s">
        <v>67</v>
      </c>
      <c r="Q40" s="23" t="s">
        <v>64</v>
      </c>
      <c r="R40" s="19" t="s">
        <v>72</v>
      </c>
      <c r="S40" s="20">
        <v>191795.20000000001</v>
      </c>
      <c r="T40" s="19" t="s">
        <v>66</v>
      </c>
      <c r="U40" s="21">
        <v>9000</v>
      </c>
      <c r="V40" s="22">
        <f t="shared" si="0"/>
        <v>4.6925053390282967E-2</v>
      </c>
    </row>
    <row r="41" spans="16:22" x14ac:dyDescent="0.25">
      <c r="P41" s="23" t="s">
        <v>73</v>
      </c>
      <c r="Q41" s="23" t="s">
        <v>64</v>
      </c>
      <c r="R41" s="19" t="s">
        <v>74</v>
      </c>
      <c r="S41" s="20">
        <v>198999.48</v>
      </c>
      <c r="T41" s="19" t="s">
        <v>66</v>
      </c>
      <c r="U41" s="21">
        <v>9500</v>
      </c>
      <c r="V41" s="22">
        <f t="shared" si="0"/>
        <v>4.7738818211987284E-2</v>
      </c>
    </row>
    <row r="42" spans="16:22" x14ac:dyDescent="0.25">
      <c r="P42" s="23" t="s">
        <v>67</v>
      </c>
      <c r="Q42" s="23" t="s">
        <v>64</v>
      </c>
      <c r="R42" s="19" t="s">
        <v>75</v>
      </c>
      <c r="S42" s="20">
        <v>203412.39580773358</v>
      </c>
      <c r="T42" s="19" t="s">
        <v>66</v>
      </c>
      <c r="U42" s="21">
        <v>9000</v>
      </c>
      <c r="V42" s="22">
        <f t="shared" si="0"/>
        <v>4.4245091181693987E-2</v>
      </c>
    </row>
    <row r="43" spans="16:22" x14ac:dyDescent="0.25">
      <c r="P43" s="23" t="s">
        <v>67</v>
      </c>
      <c r="Q43" s="23" t="s">
        <v>64</v>
      </c>
      <c r="R43" s="19" t="s">
        <v>76</v>
      </c>
      <c r="S43" s="20">
        <v>219588.43121951219</v>
      </c>
      <c r="T43" s="19" t="s">
        <v>66</v>
      </c>
      <c r="U43" s="21">
        <v>9000</v>
      </c>
      <c r="V43" s="22">
        <f t="shared" si="0"/>
        <v>4.0985765734639842E-2</v>
      </c>
    </row>
    <row r="44" spans="16:22" x14ac:dyDescent="0.25">
      <c r="P44" s="23" t="s">
        <v>67</v>
      </c>
      <c r="Q44" s="23" t="s">
        <v>64</v>
      </c>
      <c r="R44" s="19" t="s">
        <v>77</v>
      </c>
      <c r="S44" s="20">
        <v>220193.28</v>
      </c>
      <c r="T44" s="19" t="s">
        <v>66</v>
      </c>
      <c r="U44" s="21">
        <v>9000</v>
      </c>
      <c r="V44" s="22">
        <f t="shared" si="0"/>
        <v>4.0873181960866381E-2</v>
      </c>
    </row>
    <row r="45" spans="16:22" x14ac:dyDescent="0.25">
      <c r="P45" s="23" t="s">
        <v>67</v>
      </c>
      <c r="Q45" s="23" t="s">
        <v>64</v>
      </c>
      <c r="R45" s="19" t="s">
        <v>78</v>
      </c>
      <c r="S45" s="20">
        <v>224999.92334600762</v>
      </c>
      <c r="T45" s="19" t="s">
        <v>66</v>
      </c>
      <c r="U45" s="21">
        <v>9000</v>
      </c>
      <c r="V45" s="22">
        <f t="shared" si="0"/>
        <v>4.0000013627381065E-2</v>
      </c>
    </row>
    <row r="46" spans="16:22" x14ac:dyDescent="0.25">
      <c r="P46" s="18" t="s">
        <v>21</v>
      </c>
      <c r="Q46" s="23" t="s">
        <v>64</v>
      </c>
      <c r="R46" s="19" t="s">
        <v>79</v>
      </c>
      <c r="S46" s="20">
        <v>232040.47373262036</v>
      </c>
      <c r="T46" s="19" t="s">
        <v>66</v>
      </c>
      <c r="U46" s="21">
        <v>7000</v>
      </c>
      <c r="V46" s="22">
        <f t="shared" si="0"/>
        <v>3.0167150960336696E-2</v>
      </c>
    </row>
    <row r="47" spans="16:22" x14ac:dyDescent="0.25">
      <c r="P47" s="23" t="s">
        <v>73</v>
      </c>
      <c r="Q47" s="23" t="s">
        <v>64</v>
      </c>
      <c r="R47" s="19" t="s">
        <v>80</v>
      </c>
      <c r="S47" s="20">
        <v>239999.86000000002</v>
      </c>
      <c r="T47" s="19" t="s">
        <v>66</v>
      </c>
      <c r="U47" s="21">
        <v>9500</v>
      </c>
      <c r="V47" s="22">
        <f t="shared" si="0"/>
        <v>3.958335642362458E-2</v>
      </c>
    </row>
    <row r="48" spans="16:22" x14ac:dyDescent="0.25">
      <c r="P48" s="23" t="s">
        <v>67</v>
      </c>
      <c r="Q48" s="23" t="s">
        <v>64</v>
      </c>
      <c r="R48" s="19" t="s">
        <v>81</v>
      </c>
      <c r="S48" s="20">
        <v>249134.08000000002</v>
      </c>
      <c r="T48" s="19" t="s">
        <v>66</v>
      </c>
      <c r="U48" s="21">
        <v>9000</v>
      </c>
      <c r="V48" s="22">
        <f t="shared" si="0"/>
        <v>3.612512587599416E-2</v>
      </c>
    </row>
    <row r="49" spans="16:22" x14ac:dyDescent="0.25">
      <c r="P49" s="23" t="s">
        <v>73</v>
      </c>
      <c r="Q49" s="23" t="s">
        <v>64</v>
      </c>
      <c r="R49" s="19" t="s">
        <v>82</v>
      </c>
      <c r="S49" s="20">
        <v>264495.55</v>
      </c>
      <c r="T49" s="19" t="s">
        <v>83</v>
      </c>
      <c r="U49" s="24">
        <v>14000</v>
      </c>
      <c r="V49" s="22">
        <f t="shared" si="0"/>
        <v>5.2930947231437354E-2</v>
      </c>
    </row>
    <row r="50" spans="16:22" x14ac:dyDescent="0.25">
      <c r="P50" s="23" t="s">
        <v>67</v>
      </c>
      <c r="Q50" s="23" t="s">
        <v>64</v>
      </c>
      <c r="R50" s="19" t="s">
        <v>84</v>
      </c>
      <c r="S50" s="20">
        <v>283796.00719557196</v>
      </c>
      <c r="T50" s="19" t="s">
        <v>83</v>
      </c>
      <c r="U50" s="21">
        <v>13000</v>
      </c>
      <c r="V50" s="22">
        <f t="shared" si="0"/>
        <v>4.5807550742041722E-2</v>
      </c>
    </row>
    <row r="51" spans="16:22" x14ac:dyDescent="0.25">
      <c r="P51" s="23" t="s">
        <v>67</v>
      </c>
      <c r="Q51" s="23" t="s">
        <v>64</v>
      </c>
      <c r="R51" s="19" t="s">
        <v>85</v>
      </c>
      <c r="S51" s="20">
        <v>292602.60000000003</v>
      </c>
      <c r="T51" s="19" t="s">
        <v>83</v>
      </c>
      <c r="U51" s="21">
        <v>13000</v>
      </c>
      <c r="V51" s="22">
        <f t="shared" si="0"/>
        <v>4.4428860167339587E-2</v>
      </c>
    </row>
    <row r="52" spans="16:22" x14ac:dyDescent="0.25">
      <c r="P52" s="23" t="s">
        <v>67</v>
      </c>
      <c r="Q52" s="23" t="s">
        <v>64</v>
      </c>
      <c r="R52" s="19" t="s">
        <v>86</v>
      </c>
      <c r="S52" s="20">
        <v>313136.02626429789</v>
      </c>
      <c r="T52" s="19" t="s">
        <v>87</v>
      </c>
      <c r="U52" s="21">
        <v>16000</v>
      </c>
      <c r="V52" s="22">
        <f t="shared" si="0"/>
        <v>5.1096005115985707E-2</v>
      </c>
    </row>
    <row r="53" spans="16:22" x14ac:dyDescent="0.25">
      <c r="P53" s="23" t="s">
        <v>67</v>
      </c>
      <c r="Q53" s="23" t="s">
        <v>64</v>
      </c>
      <c r="R53" s="19" t="s">
        <v>88</v>
      </c>
      <c r="S53" s="20">
        <v>321172.7</v>
      </c>
      <c r="T53" s="19" t="s">
        <v>87</v>
      </c>
      <c r="U53" s="21">
        <v>16000</v>
      </c>
      <c r="V53" s="22">
        <f t="shared" si="0"/>
        <v>4.9817434669883212E-2</v>
      </c>
    </row>
    <row r="54" spans="16:22" x14ac:dyDescent="0.25">
      <c r="P54" s="23" t="s">
        <v>67</v>
      </c>
      <c r="Q54" s="23" t="s">
        <v>64</v>
      </c>
      <c r="R54" s="19" t="s">
        <v>89</v>
      </c>
      <c r="S54" s="20">
        <v>341877.25</v>
      </c>
      <c r="T54" s="19" t="s">
        <v>87</v>
      </c>
      <c r="U54" s="21">
        <v>16000</v>
      </c>
      <c r="V54" s="22">
        <f t="shared" si="0"/>
        <v>4.6800423251327779E-2</v>
      </c>
    </row>
    <row r="55" spans="16:22" x14ac:dyDescent="0.25">
      <c r="P55" s="23" t="s">
        <v>67</v>
      </c>
      <c r="Q55" s="23" t="s">
        <v>64</v>
      </c>
      <c r="R55" s="19" t="s">
        <v>90</v>
      </c>
      <c r="S55" s="20">
        <v>364141.93995372165</v>
      </c>
      <c r="T55" s="19" t="s">
        <v>87</v>
      </c>
      <c r="U55" s="21">
        <v>16000</v>
      </c>
      <c r="V55" s="22">
        <f t="shared" si="0"/>
        <v>4.393891020087777E-2</v>
      </c>
    </row>
  </sheetData>
  <dataConsolidate/>
  <mergeCells count="1">
    <mergeCell ref="C2:H2"/>
  </mergeCells>
  <dataValidations disablePrompts="1" count="1">
    <dataValidation type="list" allowBlank="1" showInputMessage="1" showErrorMessage="1" sqref="C2" xr:uid="{590DB126-C198-41CB-8645-D7CB053713F1}">
      <formula1>$R$3:$R$55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11</vt:i4>
      </vt:variant>
    </vt:vector>
  </HeadingPairs>
  <TitlesOfParts>
    <vt:vector size="13" baseType="lpstr">
      <vt:lpstr>Employee Benefit Calculator</vt:lpstr>
      <vt:lpstr>New </vt:lpstr>
      <vt:lpstr>'Employee Benefit Calculator'!Avenger</vt:lpstr>
      <vt:lpstr>'Employee Benefit Calculator'!Chetak</vt:lpstr>
      <vt:lpstr>'Employee Benefit Calculator'!CT</vt:lpstr>
      <vt:lpstr>'Employee Benefit Calculator'!DOMINAR</vt:lpstr>
      <vt:lpstr>'Employee Benefit Calculator'!FREEDOM</vt:lpstr>
      <vt:lpstr>'Employee Benefit Calculator'!Husqvarna</vt:lpstr>
      <vt:lpstr>'Employee Benefit Calculator'!KTM</vt:lpstr>
      <vt:lpstr>'Employee Benefit Calculator'!Make</vt:lpstr>
      <vt:lpstr>'Employee Benefit Calculator'!PLATINA</vt:lpstr>
      <vt:lpstr>'Employee Benefit Calculator'!PULSAR</vt:lpstr>
      <vt:lpstr>'Employee Benefit Calculator'!Triumph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Badshah Rahane</dc:creator>
  <cp:lastModifiedBy>Kritika</cp:lastModifiedBy>
  <dcterms:created xsi:type="dcterms:W3CDTF">2025-02-04T10:51:56Z</dcterms:created>
  <dcterms:modified xsi:type="dcterms:W3CDTF">2025-06-04T11:04:58Z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bf2e21b-8682-41a1-886a-0fede982e1dd_Enabled">
    <vt:lpwstr>true</vt:lpwstr>
  </property>
  <property fmtid="{D5CDD505-2E9C-101B-9397-08002B2CF9AE}" pid="3" name="MSIP_Label_bbf2e21b-8682-41a1-886a-0fede982e1dd_SetDate">
    <vt:lpwstr>2025-05-19T05:13:14Z</vt:lpwstr>
  </property>
  <property fmtid="{D5CDD505-2E9C-101B-9397-08002B2CF9AE}" pid="4" name="MSIP_Label_bbf2e21b-8682-41a1-886a-0fede982e1dd_Method">
    <vt:lpwstr>Privileged</vt:lpwstr>
  </property>
  <property fmtid="{D5CDD505-2E9C-101B-9397-08002B2CF9AE}" pid="5" name="MSIP_Label_bbf2e21b-8682-41a1-886a-0fede982e1dd_Name">
    <vt:lpwstr>BACL-General</vt:lpwstr>
  </property>
  <property fmtid="{D5CDD505-2E9C-101B-9397-08002B2CF9AE}" pid="6" name="MSIP_Label_bbf2e21b-8682-41a1-886a-0fede982e1dd_SiteId">
    <vt:lpwstr>23ac4e37-82ec-4cbb-9935-7a2305144f1e</vt:lpwstr>
  </property>
  <property fmtid="{D5CDD505-2E9C-101B-9397-08002B2CF9AE}" pid="7" name="MSIP_Label_bbf2e21b-8682-41a1-886a-0fede982e1dd_ActionId">
    <vt:lpwstr>cc336e75-4c29-4f80-82fe-a07f049bce01</vt:lpwstr>
  </property>
  <property fmtid="{D5CDD505-2E9C-101B-9397-08002B2CF9AE}" pid="8" name="MSIP_Label_bbf2e21b-8682-41a1-886a-0fede982e1dd_ContentBits">
    <vt:lpwstr>0</vt:lpwstr>
  </property>
  <property fmtid="{D5CDD505-2E9C-101B-9397-08002B2CF9AE}" pid="9" name="MSIP_Label_bbf2e21b-8682-41a1-886a-0fede982e1dd_Tag">
    <vt:lpwstr>10, 0, 1, 1</vt:lpwstr>
  </property>
</Properties>
</file>